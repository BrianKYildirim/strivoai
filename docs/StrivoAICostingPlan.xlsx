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st Case" sheetId="1" r:id="rId5"/>
    <sheet state="visible" name="Mid Case" sheetId="2" r:id="rId6"/>
    <sheet state="visible" name="Best Case" sheetId="3" r:id="rId7"/>
    <sheet state="visible" name="Simple Input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Brian Yildirim:
Editable model date used for date-aware domain pricing.</t>
      </text>
    </comment>
    <comment authorId="0" ref="E24">
      <text>
        <t xml:space="preserve">Brian Yildirim:
Replace with feature usage by tier.</t>
      </text>
    </comment>
    <comment authorId="0" ref="E23">
      <text>
        <t xml:space="preserve">Brian Yildirim:
Replace with feature usage by tier.</t>
      </text>
    </comment>
    <comment authorId="0" ref="E22">
      <text>
        <t xml:space="preserve">Brian Yildirim:
Replace with feature usage by tier.</t>
      </text>
    </comment>
    <comment authorId="0" ref="E21">
      <text>
        <t xml:space="preserve">Brian Yildirim:
Replace with feature usage by tier.</t>
      </text>
    </comment>
    <comment authorId="0" ref="E20">
      <text>
        <t xml:space="preserve">Brian Yildirim:
Within the larger LinkedIn document allowance.</t>
      </text>
    </comment>
    <comment authorId="0" ref="E19">
      <text>
        <t xml:space="preserve">Brian Yildirim:
Non-zero starting estimate.</t>
      </text>
    </comment>
    <comment authorId="0" ref="E18">
      <text>
        <t xml:space="preserve">Brian Yildirim:
Matches the current two-page resume boundary.</t>
      </text>
    </comment>
    <comment authorId="0" ref="E17">
      <text>
        <t xml:space="preserve">Brian Yildirim:
Non-zero starting estimate.</t>
      </text>
    </comment>
    <comment authorId="0" ref="E16">
      <text>
        <t xml:space="preserve">Brian Yildirim:
Preserved two-founder allocation.</t>
      </text>
    </comment>
    <comment authorId="0" ref="E15">
      <text>
        <t xml:space="preserve">Brian Yildirim:
Preserved current workbook tax assumption.</t>
      </text>
    </comment>
    <comment authorId="0" ref="E14">
      <text>
        <t xml:space="preserve">Brian Yildirim:
Annual transaction economics are calculated annually then divided by 12.</t>
      </text>
    </comment>
    <comment authorId="0" ref="E13">
      <text>
        <t xml:space="preserve">Brian Yildirim:
Preserved current workbook price.</t>
      </text>
    </comment>
    <comment authorId="0" ref="E12">
      <text>
        <t xml:space="preserve">Brian Yildirim:
Standard US received-dispute fee.</t>
      </text>
    </comment>
    <comment authorId="0" ref="E11">
      <text>
        <t xml:space="preserve">Brian Yildirim:
Per successful domestic card charge.</t>
      </text>
    </comment>
    <comment authorId="0" ref="E10">
      <text>
        <t xml:space="preserve">Brian Yildirim:
US domestic online card rate.</t>
      </text>
    </comment>
    <comment authorId="0" ref="E9">
      <text>
        <t xml:space="preserve">Brian Yildirim:
Replace with telemetry cost consumed by retries and failed generations.</t>
      </text>
    </comment>
    <comment authorId="0" ref="E8">
      <text>
        <t xml:space="preserve">Brian Yildirim:
Replace with disputed volume divided by post-refund volume.</t>
      </text>
    </comment>
    <comment authorId="0" ref="E7">
      <text>
        <t xml:space="preserve">Brian Yildirim:
Replace with refunds divided by collected volume.</t>
      </text>
    </comment>
    <comment authorId="0" ref="E6">
      <text>
        <t xml:space="preserve">Brian Yildirim:
Replace with unrecovered Stripe payment data.</t>
      </text>
    </comment>
  </commentList>
</comments>
</file>

<file path=xl/sharedStrings.xml><?xml version="1.0" encoding="utf-8"?>
<sst xmlns="http://schemas.openxmlformats.org/spreadsheetml/2006/main" count="1688" uniqueCount="524">
  <si>
    <t>WORST CASE</t>
  </si>
  <si>
    <t>SIMPLE INPUTS</t>
  </si>
  <si>
    <t>MID CASE</t>
  </si>
  <si>
    <t>BEST CASE</t>
  </si>
  <si>
    <t>STRIVO COSTING — SOURCES &amp; INPUTS</t>
  </si>
  <si>
    <t>OVERVIEW</t>
  </si>
  <si>
    <t>Defaults are filled in. Change only blue cells if needed.</t>
  </si>
  <si>
    <t>MERIT SHOP</t>
  </si>
  <si>
    <t>Model As-of Date</t>
  </si>
  <si>
    <t>AI COSTING</t>
  </si>
  <si>
    <t>Version</t>
  </si>
  <si>
    <t>Phase 04.1</t>
  </si>
  <si>
    <t>Currency</t>
  </si>
  <si>
    <t>USD</t>
  </si>
  <si>
    <t>Last Verified</t>
  </si>
  <si>
    <t>SCENARIO INPUTS</t>
  </si>
  <si>
    <t>PRICING</t>
  </si>
  <si>
    <t>Monthly Elite price</t>
  </si>
  <si>
    <t>GLOBAL OPERATING ASSUMPTIONS</t>
  </si>
  <si>
    <t>Total monthly users</t>
  </si>
  <si>
    <t>Annual Elite price</t>
  </si>
  <si>
    <t>Input</t>
  </si>
  <si>
    <t>Value</t>
  </si>
  <si>
    <t>Unit</t>
  </si>
  <si>
    <t>Status</t>
  </si>
  <si>
    <t>Source ID</t>
  </si>
  <si>
    <t>Notes</t>
  </si>
  <si>
    <t>Failed Payment Rate</t>
  </si>
  <si>
    <t>Monthly Elite users</t>
  </si>
  <si>
    <t>percent</t>
  </si>
  <si>
    <t>Estimate — production data required</t>
  </si>
  <si>
    <t>EST-01</t>
  </si>
  <si>
    <t>Replace with unrecovered Stripe payment data.</t>
  </si>
  <si>
    <t>MAU tier distributions</t>
  </si>
  <si>
    <t>SAFETY ASSUMPTIONS</t>
  </si>
  <si>
    <t>Free</t>
  </si>
  <si>
    <t>Refund Rate</t>
  </si>
  <si>
    <t>Elite</t>
  </si>
  <si>
    <t>MAU's</t>
  </si>
  <si>
    <t>Replace with refunds divided by collected volume.</t>
  </si>
  <si>
    <t>Failed payments</t>
  </si>
  <si>
    <t>Chargeback Rate</t>
  </si>
  <si>
    <t>Replace with disputed volume divided by post-refund volume.</t>
  </si>
  <si>
    <t>Shop Prices</t>
  </si>
  <si>
    <t>Refunds</t>
  </si>
  <si>
    <t>AI Retry and Failure Overhead</t>
  </si>
  <si>
    <t>Cost of features in Merits</t>
  </si>
  <si>
    <t>Tokens per run - Input #</t>
  </si>
  <si>
    <t>Replace with telemetry cost consumed by retries and failed generations.</t>
  </si>
  <si>
    <t>Tokens per run - Output #</t>
  </si>
  <si>
    <t>Chargebacks</t>
  </si>
  <si>
    <t>Stripe Variable Fee</t>
  </si>
  <si>
    <t>Tokens per run - Cache Write #</t>
  </si>
  <si>
    <t>Official</t>
  </si>
  <si>
    <t>STR-01</t>
  </si>
  <si>
    <t>US domestic online card rate.</t>
  </si>
  <si>
    <t>Tokens per run - Cache Read #</t>
  </si>
  <si>
    <t>Annual Elite users</t>
  </si>
  <si>
    <t>AI cost buffer</t>
  </si>
  <si>
    <t>Monthly %</t>
  </si>
  <si>
    <t>Stripe Fixed Fee</t>
  </si>
  <si>
    <t>USD/transaction</t>
  </si>
  <si>
    <t>Per successful domestic card charge.</t>
  </si>
  <si>
    <t>Stripe Dispute Fee</t>
  </si>
  <si>
    <t>USD/dispute</t>
  </si>
  <si>
    <t>STR-04</t>
  </si>
  <si>
    <t>Standard US received-dispute fee.</t>
  </si>
  <si>
    <t>FOUNDER</t>
  </si>
  <si>
    <t>Count</t>
  </si>
  <si>
    <t>Monthly Elite Price</t>
  </si>
  <si>
    <t>Price</t>
  </si>
  <si>
    <t>Price per merit</t>
  </si>
  <si>
    <t>USD/month</t>
  </si>
  <si>
    <t>Features</t>
  </si>
  <si>
    <t>Existing model</t>
  </si>
  <si>
    <t>MODEL-01</t>
  </si>
  <si>
    <t>Preserved current workbook price.</t>
  </si>
  <si>
    <t>Estimated tax rate</t>
  </si>
  <si>
    <t>Annual Elite Price</t>
  </si>
  <si>
    <t>USD/year</t>
  </si>
  <si>
    <t>Annual transaction economics are calculated annually then divided by 12.</t>
  </si>
  <si>
    <t>Founder count</t>
  </si>
  <si>
    <t>Founder Tax Rate</t>
  </si>
  <si>
    <t>Annual %</t>
  </si>
  <si>
    <t>-</t>
  </si>
  <si>
    <t>Preserved current workbook tax assumption.</t>
  </si>
  <si>
    <t>Monthly cost of plans</t>
  </si>
  <si>
    <t>Founder Count</t>
  </si>
  <si>
    <t>founders</t>
  </si>
  <si>
    <t>Preserved two-founder allocation.</t>
  </si>
  <si>
    <t>You can safely leave these defaults alone.</t>
  </si>
  <si>
    <t>Resume OCR Incidence</t>
  </si>
  <si>
    <t xml:space="preserve">Resume Analysis </t>
  </si>
  <si>
    <t>OCR-EST</t>
  </si>
  <si>
    <t>Non-zero starting estimate.</t>
  </si>
  <si>
    <t>Resume Analysis</t>
  </si>
  <si>
    <t>Average Resume OCR Pages</t>
  </si>
  <si>
    <t>pages/document</t>
  </si>
  <si>
    <t>Matches the current two-page resume boundary.</t>
  </si>
  <si>
    <t>MONTHLY RESULTS</t>
  </si>
  <si>
    <t>LinkedIn OCR Incidence</t>
  </si>
  <si>
    <t>Monthly #</t>
  </si>
  <si>
    <t>Average LinkedIn OCR Pages</t>
  </si>
  <si>
    <t>Within the larger LinkedIn document allowance.</t>
  </si>
  <si>
    <t>Tier</t>
  </si>
  <si>
    <t>Free Resume Uploads per User</t>
  </si>
  <si>
    <t>uploads/month</t>
  </si>
  <si>
    <t>USE-EST</t>
  </si>
  <si>
    <t>Replace with feature usage by tier.</t>
  </si>
  <si>
    <t>Elite Resume Uploads per User</t>
  </si>
  <si>
    <t>Career Compass</t>
  </si>
  <si>
    <t>Free LinkedIn Uploads per User</t>
  </si>
  <si>
    <t>Linkedin Grader</t>
  </si>
  <si>
    <t xml:space="preserve">Linkedin Grader </t>
  </si>
  <si>
    <t>Elite LinkedIn Uploads per User</t>
  </si>
  <si>
    <t>Revenue</t>
  </si>
  <si>
    <t>MERIT SHOP PRICES</t>
  </si>
  <si>
    <t>Annual #</t>
  </si>
  <si>
    <t>Pack</t>
  </si>
  <si>
    <t>Cost (Monthly plan)</t>
  </si>
  <si>
    <t>Merits</t>
  </si>
  <si>
    <t>3 Merits</t>
  </si>
  <si>
    <t>MODEL-02</t>
  </si>
  <si>
    <t>Preserved current Merit pack.</t>
  </si>
  <si>
    <t>10 Merits</t>
  </si>
  <si>
    <t>25 Merits</t>
  </si>
  <si>
    <t>Payment losses</t>
  </si>
  <si>
    <t>50 Merits</t>
  </si>
  <si>
    <t>Annual # (monthly equivalent)</t>
  </si>
  <si>
    <t>Cost (Annual plan)</t>
  </si>
  <si>
    <t>OCR PROVIDER BLEND</t>
  </si>
  <si>
    <t>Provider</t>
  </si>
  <si>
    <t>Free Share</t>
  </si>
  <si>
    <t>Elite Share</t>
  </si>
  <si>
    <t>Cost/Page</t>
  </si>
  <si>
    <t xml:space="preserve">Recruiting Lens </t>
  </si>
  <si>
    <t>Mistral OCR 4</t>
  </si>
  <si>
    <t>Official default estimate</t>
  </si>
  <si>
    <t>Recruiting Lens</t>
  </si>
  <si>
    <t>OCR-01</t>
  </si>
  <si>
    <t>Primary modeled OCR provider; replace mix with production routing.</t>
  </si>
  <si>
    <t>Amazon Textract Detect Text</t>
  </si>
  <si>
    <t>Not configured</t>
  </si>
  <si>
    <t>OCR-02</t>
  </si>
  <si>
    <t>Visible fallback with zero share until configuration and billing are confirmed.</t>
  </si>
  <si>
    <t>Stripe fees</t>
  </si>
  <si>
    <t>Claude OCR</t>
  </si>
  <si>
    <t>Tier-gated; zero modeled share</t>
  </si>
  <si>
    <t>ANT-01</t>
  </si>
  <si>
    <t>Allowed only for Elite; replace page estimate with measured telemetry before assigning share.</t>
  </si>
  <si>
    <t>Free OCR Cost/Page</t>
  </si>
  <si>
    <t xml:space="preserve">Interview Prep Coach </t>
  </si>
  <si>
    <t>Interview Prep Coach</t>
  </si>
  <si>
    <t>Interview Prep Coach (standard)</t>
  </si>
  <si>
    <t>Elite OCR Cost/Page</t>
  </si>
  <si>
    <t>AI costs</t>
  </si>
  <si>
    <t>Max merit use/ month / user</t>
  </si>
  <si>
    <t>Free Provider Weight Check</t>
  </si>
  <si>
    <t>TOTAL IINPUT TOKENS</t>
  </si>
  <si>
    <t>TOTAL OUTPUT TOKENS</t>
  </si>
  <si>
    <t>TOTAL CACHE-WRITE TOKENS</t>
  </si>
  <si>
    <t>Elite Provider Weight Check</t>
  </si>
  <si>
    <t>TOTAL CACHE-READ TOKENS</t>
  </si>
  <si>
    <t>Document processing</t>
  </si>
  <si>
    <t>Membership</t>
  </si>
  <si>
    <t>VENDOR AND PLATFORM COST INPUTS</t>
  </si>
  <si>
    <t>Max merits / month</t>
  </si>
  <si>
    <t>Max cost</t>
  </si>
  <si>
    <t>Margin</t>
  </si>
  <si>
    <t>Fee type</t>
  </si>
  <si>
    <t>Service</t>
  </si>
  <si>
    <t>Component / Plan</t>
  </si>
  <si>
    <t>Include?</t>
  </si>
  <si>
    <t>Actual Price</t>
  </si>
  <si>
    <t>Official / Estimated Price</t>
  </si>
  <si>
    <t>Active Price</t>
  </si>
  <si>
    <t>Active Source</t>
  </si>
  <si>
    <t>Billing Unit</t>
  </si>
  <si>
    <t>Reference Monthly Usage</t>
  </si>
  <si>
    <t>Included Allowance</t>
  </si>
  <si>
    <t>Software &amp; infrastructure</t>
  </si>
  <si>
    <t>Overage Rate</t>
  </si>
  <si>
    <t>Billable Overage</t>
  </si>
  <si>
    <t>Reference Monthly Cost</t>
  </si>
  <si>
    <t>Stripe</t>
  </si>
  <si>
    <t>Billing usage-based fee</t>
  </si>
  <si>
    <t>No</t>
  </si>
  <si>
    <t>Variable fee</t>
  </si>
  <si>
    <t>percent of eligible processed volume</t>
  </si>
  <si>
    <t>Shop Assumptions - %</t>
  </si>
  <si>
    <t>Shop Assumptions - $ Charged</t>
  </si>
  <si>
    <t>Cost per run - Input $</t>
  </si>
  <si>
    <t>STR-02</t>
  </si>
  <si>
    <t>Cost per run - Output $</t>
  </si>
  <si>
    <t>Activate only if Stripe Billing is actually enabled; scenario formulas keep this at zero while Include? is No.</t>
  </si>
  <si>
    <t>Supabase</t>
  </si>
  <si>
    <t>Pro base plan</t>
  </si>
  <si>
    <t>Cost per run - Cache Total $</t>
  </si>
  <si>
    <t>Yes</t>
  </si>
  <si>
    <t>Cost per run - TOTAL $</t>
  </si>
  <si>
    <t>Total monthly costs</t>
  </si>
  <si>
    <t>SUP-01</t>
  </si>
  <si>
    <t>Monthly base plan; actual invoice may replace official price in column D.</t>
  </si>
  <si>
    <t>Monthly Active Users</t>
  </si>
  <si>
    <t>USD/MAU</t>
  </si>
  <si>
    <t>SUP-02</t>
  </si>
  <si>
    <t>Reference usage is a visible planning input; scenario formulas use scenario MAU.</t>
  </si>
  <si>
    <t>Database disk</t>
  </si>
  <si>
    <t>USD/GB-month</t>
  </si>
  <si>
    <t>Overage above included database disk.</t>
  </si>
  <si>
    <t>File storage</t>
  </si>
  <si>
    <t>Fixed fee</t>
  </si>
  <si>
    <t>Overage above included file storage.</t>
  </si>
  <si>
    <t>Uncached egress</t>
  </si>
  <si>
    <t>USD/GB</t>
  </si>
  <si>
    <t>Total</t>
  </si>
  <si>
    <t>Overage above included uncached egress.</t>
  </si>
  <si>
    <t>Cached egress</t>
  </si>
  <si>
    <t>Overage above included cached egress.</t>
  </si>
  <si>
    <t>Edge Function invocations</t>
  </si>
  <si>
    <t>USD/invocation</t>
  </si>
  <si>
    <t>Net profit</t>
  </si>
  <si>
    <t>Equivalent to $2 per million invocations above allowance.</t>
  </si>
  <si>
    <t>Backups</t>
  </si>
  <si>
    <t>included</t>
  </si>
  <si>
    <t>Visible included component; verify retention and PITR selections against production.</t>
  </si>
  <si>
    <t>Authentication</t>
  </si>
  <si>
    <t>modeled through MAU</t>
  </si>
  <si>
    <t>No separate duplicate cost; MAU row is the billing dimension.</t>
  </si>
  <si>
    <t>Logs</t>
  </si>
  <si>
    <t>included / invoice-specific</t>
  </si>
  <si>
    <t>Visible component; replace if paid log-drain or retention charges appear.</t>
  </si>
  <si>
    <t>Vercel</t>
  </si>
  <si>
    <t>VER-01</t>
  </si>
  <si>
    <t>Base Pro seat/plan assumption before team-seat expansion.</t>
  </si>
  <si>
    <t>Fast Data Transfer</t>
  </si>
  <si>
    <t>VER-02</t>
  </si>
  <si>
    <t>Profit margin</t>
  </si>
  <si>
    <t>Reference allowance shown as 1 TB = 1024 GB.</t>
  </si>
  <si>
    <t>Edge Requests</t>
  </si>
  <si>
    <t>USD/request</t>
  </si>
  <si>
    <t>Stripe &amp; AI Cost</t>
  </si>
  <si>
    <t>Equivalent to $2 per million requests above allowance.</t>
  </si>
  <si>
    <t>Function Invocations</t>
  </si>
  <si>
    <t>Equivalent to $0.60 per million invocations above allowance.</t>
  </si>
  <si>
    <t>Image Transformations</t>
  </si>
  <si>
    <t>USD/transformation</t>
  </si>
  <si>
    <t>Equivalent to $0.05 per 1,000 transformations above allowance.</t>
  </si>
  <si>
    <t>Web Analytics</t>
  </si>
  <si>
    <t>included / plan-dependent</t>
  </si>
  <si>
    <t>Visible included component; verify production plan and overages.</t>
  </si>
  <si>
    <t>Speed Insights</t>
  </si>
  <si>
    <t>Founder take-home</t>
  </si>
  <si>
    <t>Namecheap</t>
  </si>
  <si>
    <t>Domain registration</t>
  </si>
  <si>
    <t>Transaction type</t>
  </si>
  <si>
    <t>Transactions/month</t>
  </si>
  <si>
    <t>Average charge</t>
  </si>
  <si>
    <t>Gross revenue</t>
  </si>
  <si>
    <t>AI cost</t>
  </si>
  <si>
    <t>Profit</t>
  </si>
  <si>
    <t xml:space="preserve">Career Compass </t>
  </si>
  <si>
    <t>DOM-01</t>
  </si>
  <si>
    <t>Actual current term through 2026-12-30; official renewal assumption applies afterward.</t>
  </si>
  <si>
    <t>Anthropic</t>
  </si>
  <si>
    <t>Claude Code Pro</t>
  </si>
  <si>
    <t>DEV-01</t>
  </si>
  <si>
    <t>Developer tooling subscription, separate from API consumption.</t>
  </si>
  <si>
    <t>OpenAI</t>
  </si>
  <si>
    <t>Free tier usage</t>
  </si>
  <si>
    <t>ChatGPT Plus</t>
  </si>
  <si>
    <t>DEV-02</t>
  </si>
  <si>
    <t>Developer tooling subscription, separate from production API consumption.</t>
  </si>
  <si>
    <t>Resend</t>
  </si>
  <si>
    <t>Email delivery</t>
  </si>
  <si>
    <t>not configured / invoice required</t>
  </si>
  <si>
    <t>Keep visible but zero until plan and actual monthly volume are confirmed.</t>
  </si>
  <si>
    <t>Firecrawl</t>
  </si>
  <si>
    <t>Web scraping</t>
  </si>
  <si>
    <t>Keep visible but zero until plan and actual usage are confirmed.</t>
  </si>
  <si>
    <t>Mistral</t>
  </si>
  <si>
    <t>OCR 4</t>
  </si>
  <si>
    <t>USD/page</t>
  </si>
  <si>
    <t>Monthly Elite subscriptions</t>
  </si>
  <si>
    <t>Modeled in the OCR provider blend; excluded here to prevent double counting.</t>
  </si>
  <si>
    <t>AWS</t>
  </si>
  <si>
    <t>Textract Detect Document Text</t>
  </si>
  <si>
    <t>Modeled in the OCR provider blend; zero provider share until configured.</t>
  </si>
  <si>
    <t>Production API</t>
  </si>
  <si>
    <t>modeled in existing AI section</t>
  </si>
  <si>
    <t>Scenario AI feature costs already model production token economics.</t>
  </si>
  <si>
    <t>Other</t>
  </si>
  <si>
    <t>Additional recurring service</t>
  </si>
  <si>
    <t>Placeholder for an evidenced recurring service; do not activate without source and scope.</t>
  </si>
  <si>
    <t>Annual Elite subscriptions</t>
  </si>
  <si>
    <t>Reference Vendor Monthly Total</t>
  </si>
  <si>
    <t>Used for current-reference audit; scenario sheets recalculate MAU-sensitive costs.</t>
  </si>
  <si>
    <t>SOURCE AUDIT</t>
  </si>
  <si>
    <t>TOTAL IINPUT COST</t>
  </si>
  <si>
    <t>Scope</t>
  </si>
  <si>
    <t>TOTAL OUTPUT COST</t>
  </si>
  <si>
    <t>URL / Reference</t>
  </si>
  <si>
    <t>Stripe domestic online card pricing</t>
  </si>
  <si>
    <t>TOTAL CACHE COST</t>
  </si>
  <si>
    <t>https://stripe.com/pricing</t>
  </si>
  <si>
    <t>2.9% + $0.30 starting rate; production mix may differ.</t>
  </si>
  <si>
    <t>Stripe Billing usage-based pricing</t>
  </si>
  <si>
    <t>https://stripe.com/billing/pricing</t>
  </si>
  <si>
    <t>0.7% of Billing volume; model disabled until activation is confirmed.</t>
  </si>
  <si>
    <t>TOTAL COST</t>
  </si>
  <si>
    <t>STR-03</t>
  </si>
  <si>
    <t>Stripe failed-payment and recovery telemetry</t>
  </si>
  <si>
    <t>Production data required</t>
  </si>
  <si>
    <t>Stripe Dashboard / Sigma export</t>
  </si>
  <si>
    <t>Use unrecovered failed-payment outcomes, not generic decline benchmarks.</t>
  </si>
  <si>
    <t>Stripe disputes fee</t>
  </si>
  <si>
    <t>Standard US received-dispute fee modeled at $15.</t>
  </si>
  <si>
    <t>Merit shop purchases</t>
  </si>
  <si>
    <t>Supabase plans and usage pricing</t>
  </si>
  <si>
    <t>https://supabase.com/pricing</t>
  </si>
  <si>
    <t>Pro base and usage dimension rates.</t>
  </si>
  <si>
    <t>Supabase MAU billing dimension</t>
  </si>
  <si>
    <t>https://supabase.com/docs/guides/platform/manage-your-usage/monthly-active-users</t>
  </si>
  <si>
    <t>MAU allowance and overage treatment.</t>
  </si>
  <si>
    <t>Vercel Pro plan</t>
  </si>
  <si>
    <t>https://vercel.com/pricing</t>
  </si>
  <si>
    <t>Pro base plan and included platform features.</t>
  </si>
  <si>
    <t>Vercel usage pricing</t>
  </si>
  <si>
    <t>https://vercel.com/docs/pricing</t>
  </si>
  <si>
    <t>FDT, requests, functions, and image usage dimensions.</t>
  </si>
  <si>
    <t>Mistral OCR pricing</t>
  </si>
  <si>
    <t>https://mistral.ai/pricing</t>
  </si>
  <si>
    <t>OCR 4 modeled at $4 per 1,000 pages.</t>
  </si>
  <si>
    <t>Amazon Textract pricing</t>
  </si>
  <si>
    <t>https://aws.amazon.com/textract/pricing/</t>
  </si>
  <si>
    <t>Detect Document Text modeled at $0.0015 per page for first million pages.</t>
  </si>
  <si>
    <t>TOTAL</t>
  </si>
  <si>
    <t>Anthropic model pricing</t>
  </si>
  <si>
    <t>https://platform.claude.com/docs/en/about-claude/pricing</t>
  </si>
  <si>
    <t>Existing AI feature inputs remain visible on scenario sheets; replace with invoice telemetry.</t>
  </si>
  <si>
    <t>Claude Code subscription</t>
  </si>
  <si>
    <t>https://www.anthropic.com/pricing</t>
  </si>
  <si>
    <t>Claude Code Pro modeled at $20 per month.</t>
  </si>
  <si>
    <t>ChatGPT subscription</t>
  </si>
  <si>
    <t>https://openai.com/chatgpt/pricing/</t>
  </si>
  <si>
    <t>ChatGPT Plus modeled at $20 per month.</t>
  </si>
  <si>
    <t>Shop Assumptions - Users</t>
  </si>
  <si>
    <t>Shop Assumptions - $ Profit</t>
  </si>
  <si>
    <t>Namecheap domain term and renewal</t>
  </si>
  <si>
    <t>Actual plus renewal quote</t>
  </si>
  <si>
    <t>OCR COST MODEL BY TIER</t>
  </si>
  <si>
    <t>Namecheap invoice / account renewal quote</t>
  </si>
  <si>
    <t>$13.68 current term through 2026-12-30; $18.58 annual renewal thereafter.</t>
  </si>
  <si>
    <t>Unverified operating input</t>
  </si>
  <si>
    <t>Estimate</t>
  </si>
  <si>
    <t>Production invoice or telemetry required</t>
  </si>
  <si>
    <t>No cost should be activated without evidence and scope.</t>
  </si>
  <si>
    <t>Existing subscription model assumptions</t>
  </si>
  <si>
    <t>Existing workbook</t>
  </si>
  <si>
    <t>Worst/Mid/Best Case sheets</t>
  </si>
  <si>
    <t>Elite price, tax, and founder count preserved from original workbook.</t>
  </si>
  <si>
    <t>Existing Merit shop catalog</t>
  </si>
  <si>
    <t>Four pack sizes and prices preserved from original workbook.</t>
  </si>
  <si>
    <t>OCR incidence, pages, and provider routing</t>
  </si>
  <si>
    <t>Resume Users</t>
  </si>
  <si>
    <t>Production telemetry required</t>
  </si>
  <si>
    <t>Non-zero starting assumptions; replace with measured tier-level routing.</t>
  </si>
  <si>
    <t>Resume Uploads / User</t>
  </si>
  <si>
    <t>Resume Documents</t>
  </si>
  <si>
    <t>Resume OCR Rate</t>
  </si>
  <si>
    <t>Resume Pages / Doc</t>
  </si>
  <si>
    <t>Resume OCR Pages</t>
  </si>
  <si>
    <t>LinkedIn Users</t>
  </si>
  <si>
    <t>LinkedIn Uploads / User</t>
  </si>
  <si>
    <t>LinkedIn Documents</t>
  </si>
  <si>
    <t>LinkedIn OCR Rate</t>
  </si>
  <si>
    <t>LinkedIn Pages / Doc</t>
  </si>
  <si>
    <t>LinkedIn OCR Pages</t>
  </si>
  <si>
    <t>Blended Cost / Page</t>
  </si>
  <si>
    <t>Monthly OCR Cost</t>
  </si>
  <si>
    <t>Monthly Model</t>
  </si>
  <si>
    <t>PRODUCTION DATA REQUIRED</t>
  </si>
  <si>
    <t>#</t>
  </si>
  <si>
    <t>Required Input</t>
  </si>
  <si>
    <t>System of Record</t>
  </si>
  <si>
    <t>Owner</t>
  </si>
  <si>
    <t>Cadence</t>
  </si>
  <si>
    <t>Why It Matters</t>
  </si>
  <si>
    <t>Production MAU by month and subscription tier</t>
  </si>
  <si>
    <t>Supabase Auth / profiles</t>
  </si>
  <si>
    <t>Product analytics</t>
  </si>
  <si>
    <t>Monthly</t>
  </si>
  <si>
    <t>Replaces scenario demand proxies and validates Supabase MAU exposure.</t>
  </si>
  <si>
    <t>Open</t>
  </si>
  <si>
    <t>Supabase invoice usage by every billed dimension</t>
  </si>
  <si>
    <t>Supabase billing invoice</t>
  </si>
  <si>
    <t>Platform</t>
  </si>
  <si>
    <t>Confirms base plan, database, storage, egress, functions, backups, auth, and logs.</t>
  </si>
  <si>
    <t>Vercel invoice usage by every billed dimension</t>
  </si>
  <si>
    <t>Vercel billing export</t>
  </si>
  <si>
    <t>Confirms FDT, edge requests, functions, images, analytics, and Speed Insights.</t>
  </si>
  <si>
    <t>Successfully collected Stripe volume and transaction count by payment method and geography</t>
  </si>
  <si>
    <t>Stripe balance transactions</t>
  </si>
  <si>
    <t>Finance</t>
  </si>
  <si>
    <t>Replaces domestic-card-only fee simplification.</t>
  </si>
  <si>
    <t>Failed-payment attempts, recovered payments, and unrecovered lost volume</t>
  </si>
  <si>
    <t>Stripe invoices / payment intents</t>
  </si>
  <si>
    <t>Replaces the 5% failed-payment estimate with a true loss waterfall.</t>
  </si>
  <si>
    <t>Refund count and refunded principal by product</t>
  </si>
  <si>
    <t>Stripe refunds</t>
  </si>
  <si>
    <t>Replaces the 3% refund estimate and supports contribution analysis.</t>
  </si>
  <si>
    <t>Dispute count, disputed principal, fees, and win outcomes</t>
  </si>
  <si>
    <t>Stripe disputes</t>
  </si>
  <si>
    <t>Replaces the 0.5% chargeback estimate and validates dispute fees.</t>
  </si>
  <si>
    <t>Stripe Billing activation status, plan, and eligible processed volume</t>
  </si>
  <si>
    <t>Stripe settings and invoice</t>
  </si>
  <si>
    <t>On change</t>
  </si>
  <si>
    <t>Determines whether the 0.7% Billing fee belongs in costs.</t>
  </si>
  <si>
    <t>Feature usage by tier, including resume, LinkedIn, and Merit actions</t>
  </si>
  <si>
    <t>Application telemetry</t>
  </si>
  <si>
    <t>Replaces per-user usage assumptions and ties AI/OCR demand to behavior.</t>
  </si>
  <si>
    <t>AI input/output/cache tokens, model, retries, failures, and refunds by feature</t>
  </si>
  <si>
    <t>Anthropic usage plus internal telemetry</t>
  </si>
  <si>
    <t>AI platform</t>
  </si>
  <si>
    <t>Weekly / monthly</t>
  </si>
  <si>
    <t>Replaces average-call assumptions and isolates retry overhead.</t>
  </si>
  <si>
    <t>Line Item</t>
  </si>
  <si>
    <t>Monthly Amount</t>
  </si>
  <si>
    <t>OCR incidence, pages, provider, tier, retries, and failures</t>
  </si>
  <si>
    <t>OCR routing telemetry</t>
  </si>
  <si>
    <t>Annualized / KPI</t>
  </si>
  <si>
    <t>Classification</t>
  </si>
  <si>
    <t>Input Status</t>
  </si>
  <si>
    <t>Replaces OCR incidence/page/provider estimates and enforces tier routing.</t>
  </si>
  <si>
    <t>Scenario formula</t>
  </si>
  <si>
    <t>Failed payments, refunds, and chargebacks</t>
  </si>
  <si>
    <t>Cost</t>
  </si>
  <si>
    <t>Estimate dependent</t>
  </si>
  <si>
    <t>Stripe processing, fixed, dispute, and Billing fees</t>
  </si>
  <si>
    <t>Official rates; mix estimated</t>
  </si>
  <si>
    <t>Assumed usage distribution</t>
  </si>
  <si>
    <t>AI Information</t>
  </si>
  <si>
    <t>VENDOR COST DETAIL</t>
  </si>
  <si>
    <t>AI inference including retry/failure overhead</t>
  </si>
  <si>
    <t>Free (10 merits)</t>
  </si>
  <si>
    <t>Elite (150 merits)</t>
  </si>
  <si>
    <t>Input cost</t>
  </si>
  <si>
    <t>$1/1M Input Tokens</t>
  </si>
  <si>
    <t>Component</t>
  </si>
  <si>
    <t>Monthly Cost</t>
  </si>
  <si>
    <t>Calculation</t>
  </si>
  <si>
    <t>OCR processing</t>
  </si>
  <si>
    <t>Cache write cost</t>
  </si>
  <si>
    <t>$1.25/1M Cache-Write Tokens</t>
  </si>
  <si>
    <t>Supabase Pro base</t>
  </si>
  <si>
    <t>Central base plan</t>
  </si>
  <si>
    <t>Platform, domain, and developer tools</t>
  </si>
  <si>
    <t>Source backed; usage estimated</t>
  </si>
  <si>
    <t>Cache read cost</t>
  </si>
  <si>
    <t>$0.10/1M Cache-Read Tokens</t>
  </si>
  <si>
    <t>Supabase MAU overage</t>
  </si>
  <si>
    <t>Scenario MAU above allowance</t>
  </si>
  <si>
    <t>Total modeled cost</t>
  </si>
  <si>
    <t>KPI</t>
  </si>
  <si>
    <t>Calculated</t>
  </si>
  <si>
    <t>Output cost</t>
  </si>
  <si>
    <t>$5/1M Output Tokens</t>
  </si>
  <si>
    <t>Supabase other dimensions</t>
  </si>
  <si>
    <t>Central reference usage schedule</t>
  </si>
  <si>
    <t>Total modeled cost per MAU</t>
  </si>
  <si>
    <t>Model used for all features</t>
  </si>
  <si>
    <t>claude-haiku-4-5-20251001</t>
  </si>
  <si>
    <t>Vercel Pro and usage</t>
  </si>
  <si>
    <t>AI plus OCR cost per MAU</t>
  </si>
  <si>
    <t>Domain</t>
  </si>
  <si>
    <t>Date-aware current term / renewal</t>
  </si>
  <si>
    <t>Vendor cost per MAU</t>
  </si>
  <si>
    <t>TOTAL RUNS</t>
  </si>
  <si>
    <t>Developer tools</t>
  </si>
  <si>
    <t>Monthly subscriptions</t>
  </si>
  <si>
    <t>NET OPERATING PROFIT</t>
  </si>
  <si>
    <t>TOTAL MERITS</t>
  </si>
  <si>
    <t>Other active recurring services</t>
  </si>
  <si>
    <t>Only explicitly activated rows</t>
  </si>
  <si>
    <t>Net operating margin</t>
  </si>
  <si>
    <t>COST PER MERIT</t>
  </si>
  <si>
    <t>TOTAL VENDOR COST</t>
  </si>
  <si>
    <t>Sum of vendor components</t>
  </si>
  <si>
    <t>Founder share before tax</t>
  </si>
  <si>
    <t>Founder</t>
  </si>
  <si>
    <t>PAYMENT LOSS</t>
  </si>
  <si>
    <t>Founder tax reserve</t>
  </si>
  <si>
    <t>Existing assumption</t>
  </si>
  <si>
    <t>Monthly Subs</t>
  </si>
  <si>
    <t>Annual Subs</t>
  </si>
  <si>
    <t>Merit Shop</t>
  </si>
  <si>
    <t>Calculation Logic</t>
  </si>
  <si>
    <t>FOUNDER TAKE-HOME</t>
  </si>
  <si>
    <t>Gross billed</t>
  </si>
  <si>
    <t>Scenario gross billed</t>
  </si>
  <si>
    <t>Failed payment loss</t>
  </si>
  <si>
    <t>Gross × failed-payment rate</t>
  </si>
  <si>
    <t>Collected after failures</t>
  </si>
  <si>
    <t>Gross + failed loss</t>
  </si>
  <si>
    <t>Refund loss</t>
  </si>
  <si>
    <t>Collected × refund rate</t>
  </si>
  <si>
    <t>Post-refund volume</t>
  </si>
  <si>
    <t>Collected + refund loss</t>
  </si>
  <si>
    <t>Chargeback principal loss</t>
  </si>
  <si>
    <t>Post-refund × chargeback rate</t>
  </si>
  <si>
    <t>Post-chargeback volume</t>
  </si>
  <si>
    <t>Post-refund + chargeback loss</t>
  </si>
  <si>
    <t>Stripe variable fee</t>
  </si>
  <si>
    <t>Post-chargeback volume × variable fee</t>
  </si>
  <si>
    <t>Stripe fixed fee</t>
  </si>
  <si>
    <t>Successful transactions × fixed fee</t>
  </si>
  <si>
    <t>Dispute fee</t>
  </si>
  <si>
    <t>Disputed transaction proxy × dispute fee</t>
  </si>
  <si>
    <t>Stripe Billing fee</t>
  </si>
  <si>
    <t>Post-chargeback volume × Billing rate when active</t>
  </si>
  <si>
    <t>Net cash after payments</t>
  </si>
  <si>
    <t>Gross plus every loss and fee</t>
  </si>
  <si>
    <t>Reconciliation variance</t>
  </si>
  <si>
    <t>Net cash minus reconstructed waterfall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</si>
</sst>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yyyy\-mm\-dd"/>
    <numFmt numFmtId="165" formatCode="#,##0.000000"/>
    <numFmt numFmtId="166" formatCode="&quot;$&quot;#,##0.00"/>
    <numFmt numFmtId="167" formatCode="0.0%"/>
    <numFmt numFmtId="168" formatCode="&quot;$&quot;#,##0.0000"/>
    <numFmt numFmtId="169" formatCode="&quot;$&quot;#,##0"/>
    <numFmt numFmtId="170" formatCode="&quot;$&quot;#,##0.000000"/>
    <numFmt numFmtId="171" formatCode="&quot;$&quot;0.0000"/>
    <numFmt numFmtId="172" formatCode="&quot;$&quot;#,##0.00000"/>
    <numFmt numFmtId="173" formatCode="0.000%"/>
    <numFmt numFmtId="174" formatCode="&quot;$&quot;#,##0.000"/>
    <numFmt numFmtId="175" formatCode="#,##0.000"/>
    <numFmt numFmtId="176" formatCode="#,##0.0000"/>
    <numFmt numFmtId="177" formatCode="#,##0.00000000"/>
    <numFmt numFmtId="178" formatCode="&quot;$&quot;#,##0.00;[Red]\-&quot;$&quot;#,##0.00"/>
    <numFmt numFmtId="179" formatCode="&quot;$&quot;0.00"/>
  </numFmts>
  <fonts count="21">
    <font>
      <sz val="10.0"/>
      <color rgb="FF000000"/>
      <name val="Arial"/>
      <scheme val="minor"/>
    </font>
    <font>
      <b/>
      <sz val="18.0"/>
      <color rgb="FFFFFFFF"/>
      <name val="Aptos"/>
    </font>
    <font>
      <b/>
      <sz val="18.0"/>
      <color rgb="FFFFFFFF"/>
      <name val="Arial"/>
    </font>
    <font/>
    <font>
      <color theme="1"/>
      <name val="Arial"/>
    </font>
    <font>
      <b/>
      <sz val="11.0"/>
      <color rgb="FF000000"/>
      <name val="Times New Roman"/>
    </font>
    <font>
      <sz val="10.0"/>
      <color theme="1"/>
      <name val="Arial"/>
    </font>
    <font>
      <b/>
      <sz val="11.0"/>
      <color theme="1"/>
      <name val="Times New Roman"/>
    </font>
    <font>
      <i/>
      <sz val="11.0"/>
      <color rgb="FF000000"/>
      <name val="Aptos"/>
    </font>
    <font>
      <sz val="11.0"/>
      <color rgb="FF000000"/>
      <name val="Times New Roman"/>
    </font>
    <font>
      <b/>
      <sz val="11.0"/>
      <color rgb="FFFFFFFF"/>
      <name val="Aptos"/>
    </font>
    <font>
      <color theme="1"/>
      <name val="Arial"/>
      <scheme val="minor"/>
    </font>
    <font>
      <sz val="11.0"/>
      <color rgb="FF000000"/>
      <name val="Aptos"/>
    </font>
    <font>
      <b/>
      <sz val="11.0"/>
      <color rgb="FF000000"/>
      <name val="Aptos"/>
    </font>
    <font>
      <sz val="11.0"/>
      <color rgb="FF0000FF"/>
      <name val="Times New Roman"/>
    </font>
    <font>
      <b/>
      <sz val="11.0"/>
      <color rgb="FF000000"/>
      <name val="Arial"/>
    </font>
    <font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b/>
      <u/>
      <sz val="11.0"/>
      <color theme="1"/>
      <name val="Times New Roman"/>
    </font>
    <font>
      <sz val="11.0"/>
      <color theme="1"/>
      <name val="&quot;Aptos Narrow&quot;"/>
    </font>
  </fonts>
  <fills count="18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FFE599"/>
        <bgColor rgb="FFFFE599"/>
      </patternFill>
    </fill>
    <fill>
      <patternFill patternType="solid">
        <fgColor rgb="FFEAF2F8"/>
        <bgColor rgb="FFEAF2F8"/>
      </patternFill>
    </fill>
    <fill>
      <patternFill patternType="solid">
        <fgColor rgb="FF4472C4"/>
        <bgColor rgb="FF4472C4"/>
      </patternFill>
    </fill>
    <fill>
      <patternFill patternType="solid">
        <fgColor rgb="FFD9EAF7"/>
        <bgColor rgb="FFD9EAF7"/>
      </patternFill>
    </fill>
    <fill>
      <patternFill patternType="solid">
        <fgColor rgb="FF4A86E8"/>
        <bgColor rgb="FF4A86E8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2F0D9"/>
        <bgColor rgb="FFE2F0D9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1">
    <border/>
    <border>
      <left/>
      <top/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/>
      <bottom/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Border="1" applyFont="1"/>
    <xf borderId="6" fillId="3" fontId="5" numFmtId="0" xfId="0" applyAlignment="1" applyBorder="1" applyFill="1" applyFont="1">
      <alignment horizontal="center" shrinkToFit="0" vertical="top" wrapText="1"/>
    </xf>
    <xf borderId="7" fillId="0" fontId="4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7" fillId="3" fontId="7" numFmtId="0" xfId="0" applyAlignment="1" applyBorder="1" applyFont="1">
      <alignment horizontal="center" vertical="center"/>
    </xf>
    <xf borderId="1" fillId="4" fontId="8" numFmtId="0" xfId="0" applyAlignment="1" applyBorder="1" applyFill="1" applyFont="1">
      <alignment shrinkToFit="0" wrapText="1"/>
    </xf>
    <xf borderId="7" fillId="0" fontId="4" numFmtId="0" xfId="0" applyBorder="1" applyFont="1"/>
    <xf borderId="0" fillId="0" fontId="9" numFmtId="0" xfId="0" applyAlignment="1" applyFont="1">
      <alignment shrinkToFit="0" vertical="top" wrapText="1"/>
    </xf>
    <xf borderId="5" fillId="0" fontId="4" numFmtId="0" xfId="0" applyAlignment="1" applyBorder="1" applyFont="1">
      <alignment horizontal="center" vertical="center"/>
    </xf>
    <xf borderId="0" fillId="0" fontId="9" numFmtId="164" xfId="0" applyAlignment="1" applyFont="1" applyNumberFormat="1">
      <alignment shrinkToFit="0" vertical="top" wrapText="1"/>
    </xf>
    <xf borderId="8" fillId="0" fontId="4" numFmtId="0" xfId="0" applyBorder="1" applyFont="1"/>
    <xf borderId="9" fillId="5" fontId="10" numFmtId="0" xfId="0" applyAlignment="1" applyBorder="1" applyFill="1" applyFont="1">
      <alignment horizontal="center" vertical="center"/>
    </xf>
    <xf borderId="10" fillId="5" fontId="10" numFmtId="0" xfId="0" applyAlignment="1" applyBorder="1" applyFont="1">
      <alignment horizontal="center" vertical="center"/>
    </xf>
    <xf borderId="11" fillId="0" fontId="4" numFmtId="0" xfId="0" applyBorder="1" applyFont="1"/>
    <xf borderId="1" fillId="5" fontId="10" numFmtId="0" xfId="0" applyBorder="1" applyFont="1"/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1" numFmtId="0" xfId="0" applyFont="1"/>
    <xf borderId="0" fillId="0" fontId="6" numFmtId="165" xfId="0" applyAlignment="1" applyFont="1" applyNumberFormat="1">
      <alignment horizontal="center" vertical="center"/>
    </xf>
    <xf borderId="0" fillId="0" fontId="12" numFmtId="0" xfId="0" applyFont="1"/>
    <xf borderId="6" fillId="6" fontId="13" numFmtId="166" xfId="0" applyBorder="1" applyFill="1" applyFont="1" applyNumberFormat="1"/>
    <xf borderId="6" fillId="7" fontId="5" numFmtId="0" xfId="0" applyAlignment="1" applyBorder="1" applyFill="1" applyFont="1">
      <alignment horizontal="center" shrinkToFit="0" vertical="top" wrapText="1"/>
    </xf>
    <xf borderId="11" fillId="0" fontId="4" numFmtId="0" xfId="0" applyAlignment="1" applyBorder="1" applyFont="1">
      <alignment horizontal="center" vertical="center"/>
    </xf>
    <xf borderId="12" fillId="0" fontId="4" numFmtId="0" xfId="0" applyBorder="1" applyFont="1"/>
    <xf borderId="11" fillId="0" fontId="12" numFmtId="0" xfId="0" applyAlignment="1" applyBorder="1" applyFont="1">
      <alignment horizontal="center" vertical="center"/>
    </xf>
    <xf borderId="6" fillId="8" fontId="5" numFmtId="0" xfId="0" applyAlignment="1" applyBorder="1" applyFill="1" applyFont="1">
      <alignment horizontal="center" shrinkToFit="0" vertical="top" wrapText="1"/>
    </xf>
    <xf borderId="10" fillId="6" fontId="13" numFmtId="3" xfId="0" applyAlignment="1" applyBorder="1" applyFont="1" applyNumberFormat="1">
      <alignment horizontal="center" vertical="center"/>
    </xf>
    <xf borderId="6" fillId="9" fontId="14" numFmtId="167" xfId="0" applyAlignment="1" applyBorder="1" applyFill="1" applyFont="1" applyNumberFormat="1">
      <alignment shrinkToFit="0" vertical="top" wrapText="1"/>
    </xf>
    <xf borderId="10" fillId="6" fontId="15" numFmtId="167" xfId="0" applyAlignment="1" applyBorder="1" applyFont="1" applyNumberFormat="1">
      <alignment horizontal="center" vertical="center"/>
    </xf>
    <xf borderId="0" fillId="0" fontId="4" numFmtId="0" xfId="0" applyFont="1"/>
    <xf borderId="5" fillId="7" fontId="7" numFmtId="0" xfId="0" applyAlignment="1" applyBorder="1" applyFont="1">
      <alignment horizontal="center" vertical="center"/>
    </xf>
    <xf borderId="7" fillId="8" fontId="7" numFmtId="0" xfId="0" applyAlignment="1" applyBorder="1" applyFont="1">
      <alignment horizontal="center" vertical="center"/>
    </xf>
    <xf borderId="8" fillId="8" fontId="7" numFmtId="0" xfId="0" applyAlignment="1" applyBorder="1" applyFont="1">
      <alignment horizontal="center" vertical="center"/>
    </xf>
    <xf borderId="13" fillId="7" fontId="7" numFmtId="0" xfId="0" applyAlignment="1" applyBorder="1" applyFont="1">
      <alignment horizontal="center" vertical="center"/>
    </xf>
    <xf borderId="6" fillId="6" fontId="13" numFmtId="167" xfId="0" applyBorder="1" applyFont="1" applyNumberFormat="1"/>
    <xf borderId="14" fillId="8" fontId="7" numFmtId="3" xfId="0" applyAlignment="1" applyBorder="1" applyFont="1" applyNumberFormat="1">
      <alignment horizontal="center" vertical="center"/>
    </xf>
    <xf borderId="15" fillId="7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11" fillId="8" fontId="7" numFmtId="0" xfId="0" applyAlignment="1" applyBorder="1" applyFont="1">
      <alignment horizontal="center" vertical="center"/>
    </xf>
    <xf borderId="6" fillId="9" fontId="14" numFmtId="166" xfId="0" applyAlignment="1" applyBorder="1" applyFont="1" applyNumberFormat="1">
      <alignment shrinkToFit="0" vertical="top" wrapText="1"/>
    </xf>
    <xf borderId="0" fillId="0" fontId="16" numFmtId="167" xfId="0" applyAlignment="1" applyFont="1" applyNumberFormat="1">
      <alignment horizontal="center" vertical="center"/>
    </xf>
    <xf borderId="12" fillId="0" fontId="16" numFmtId="167" xfId="0" applyAlignment="1" applyBorder="1" applyFont="1" applyNumberFormat="1">
      <alignment horizontal="center" vertical="center"/>
    </xf>
    <xf borderId="5" fillId="8" fontId="7" numFmtId="0" xfId="0" applyAlignment="1" applyBorder="1" applyFont="1">
      <alignment horizontal="center" vertical="center"/>
    </xf>
    <xf borderId="0" fillId="8" fontId="7" numFmtId="0" xfId="0" applyAlignment="1" applyFont="1">
      <alignment horizontal="center" vertical="center"/>
    </xf>
    <xf borderId="12" fillId="8" fontId="7" numFmtId="0" xfId="0" applyAlignment="1" applyBorder="1" applyFont="1">
      <alignment horizontal="center" vertical="center"/>
    </xf>
    <xf borderId="6" fillId="6" fontId="13" numFmtId="1" xfId="0" applyBorder="1" applyFont="1" applyNumberFormat="1"/>
    <xf borderId="12" fillId="0" fontId="12" numFmtId="0" xfId="0" applyAlignment="1" applyBorder="1" applyFont="1">
      <alignment horizontal="center" vertical="center"/>
    </xf>
    <xf borderId="0" fillId="0" fontId="16" numFmtId="3" xfId="0" applyAlignment="1" applyFont="1" applyNumberFormat="1">
      <alignment horizontal="center" vertical="center"/>
    </xf>
    <xf borderId="11" fillId="0" fontId="4" numFmtId="3" xfId="0" applyBorder="1" applyFont="1" applyNumberFormat="1"/>
    <xf borderId="11" fillId="8" fontId="16" numFmtId="3" xfId="0" applyAlignment="1" applyBorder="1" applyFont="1" applyNumberFormat="1">
      <alignment horizontal="center" vertical="center"/>
    </xf>
    <xf borderId="6" fillId="9" fontId="14" numFmtId="1" xfId="0" applyAlignment="1" applyBorder="1" applyFont="1" applyNumberFormat="1">
      <alignment shrinkToFit="0" vertical="top" wrapText="1"/>
    </xf>
    <xf borderId="0" fillId="0" fontId="16" numFmtId="166" xfId="0" applyAlignment="1" applyFont="1" applyNumberFormat="1">
      <alignment horizontal="center" vertical="center"/>
    </xf>
    <xf borderId="0" fillId="0" fontId="12" numFmtId="0" xfId="0" applyAlignment="1" applyFont="1">
      <alignment shrinkToFit="0" wrapText="1"/>
    </xf>
    <xf borderId="12" fillId="0" fontId="16" numFmtId="168" xfId="0" applyAlignment="1" applyBorder="1" applyFont="1" applyNumberFormat="1">
      <alignment horizontal="center" vertical="center"/>
    </xf>
    <xf borderId="11" fillId="8" fontId="16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12" fillId="0" fontId="16" numFmtId="0" xfId="0" applyAlignment="1" applyBorder="1" applyFont="1">
      <alignment horizontal="center" vertical="center"/>
    </xf>
    <xf borderId="12" fillId="0" fontId="16" numFmtId="3" xfId="0" applyAlignment="1" applyBorder="1" applyFont="1" applyNumberFormat="1">
      <alignment horizontal="center" vertical="center"/>
    </xf>
    <xf borderId="6" fillId="9" fontId="14" numFmtId="0" xfId="0" applyAlignment="1" applyBorder="1" applyFont="1">
      <alignment shrinkToFit="0" vertical="top" wrapText="1"/>
    </xf>
    <xf borderId="0" fillId="0" fontId="6" numFmtId="3" xfId="0" applyAlignment="1" applyFont="1" applyNumberFormat="1">
      <alignment horizontal="center" vertical="center"/>
    </xf>
    <xf borderId="12" fillId="0" fontId="4" numFmtId="3" xfId="0" applyBorder="1" applyFont="1" applyNumberFormat="1"/>
    <xf borderId="0" fillId="0" fontId="11" numFmtId="3" xfId="0" applyFont="1" applyNumberFormat="1"/>
    <xf borderId="12" fillId="0" fontId="12" numFmtId="169" xfId="0" applyAlignment="1" applyBorder="1" applyFont="1" applyNumberFormat="1">
      <alignment horizontal="center" vertical="center"/>
    </xf>
    <xf borderId="12" fillId="0" fontId="7" numFmtId="166" xfId="0" applyAlignment="1" applyBorder="1" applyFont="1" applyNumberFormat="1">
      <alignment horizontal="center" vertical="center"/>
    </xf>
    <xf borderId="16" fillId="8" fontId="7" numFmtId="0" xfId="0" applyAlignment="1" applyBorder="1" applyFont="1">
      <alignment horizontal="center" vertical="center"/>
    </xf>
    <xf borderId="17" fillId="0" fontId="16" numFmtId="3" xfId="0" applyAlignment="1" applyBorder="1" applyFont="1" applyNumberFormat="1">
      <alignment horizontal="center" vertical="center"/>
    </xf>
    <xf borderId="18" fillId="0" fontId="16" numFmtId="3" xfId="0" applyAlignment="1" applyBorder="1" applyFont="1" applyNumberFormat="1">
      <alignment horizontal="center" vertical="center"/>
    </xf>
    <xf borderId="17" fillId="0" fontId="7" numFmtId="0" xfId="0" applyAlignment="1" applyBorder="1" applyFont="1">
      <alignment horizontal="center" vertical="center"/>
    </xf>
    <xf borderId="18" fillId="0" fontId="7" numFmtId="170" xfId="0" applyAlignment="1" applyBorder="1" applyFont="1" applyNumberFormat="1">
      <alignment horizontal="center" vertical="center"/>
    </xf>
    <xf borderId="16" fillId="8" fontId="16" numFmtId="3" xfId="0" applyAlignment="1" applyBorder="1" applyFont="1" applyNumberFormat="1">
      <alignment horizontal="center" vertical="center"/>
    </xf>
    <xf borderId="17" fillId="0" fontId="16" numFmtId="166" xfId="0" applyAlignment="1" applyBorder="1" applyFont="1" applyNumberFormat="1">
      <alignment horizontal="center" vertical="center"/>
    </xf>
    <xf borderId="18" fillId="0" fontId="16" numFmtId="168" xfId="0" applyAlignment="1" applyBorder="1" applyFont="1" applyNumberFormat="1">
      <alignment horizontal="center" vertical="center"/>
    </xf>
    <xf borderId="6" fillId="9" fontId="14" numFmtId="171" xfId="0" applyAlignment="1" applyBorder="1" applyFont="1" applyNumberFormat="1">
      <alignment shrinkToFit="0" vertical="top" wrapText="1"/>
    </xf>
    <xf borderId="0" fillId="0" fontId="16" numFmtId="172" xfId="0" applyAlignment="1" applyFont="1" applyNumberFormat="1">
      <alignment horizontal="center" vertical="center"/>
    </xf>
    <xf borderId="6" fillId="8" fontId="5" numFmtId="0" xfId="0" applyAlignment="1" applyBorder="1" applyFont="1">
      <alignment shrinkToFit="0" vertical="top" wrapText="1"/>
    </xf>
    <xf borderId="16" fillId="8" fontId="16" numFmtId="0" xfId="0" applyAlignment="1" applyBorder="1" applyFont="1">
      <alignment horizontal="center" vertical="center"/>
    </xf>
    <xf borderId="17" fillId="0" fontId="16" numFmtId="0" xfId="0" applyAlignment="1" applyBorder="1" applyFont="1">
      <alignment horizontal="center" vertical="center"/>
    </xf>
    <xf borderId="18" fillId="0" fontId="16" numFmtId="0" xfId="0" applyAlignment="1" applyBorder="1" applyFont="1">
      <alignment horizontal="center" vertical="center"/>
    </xf>
    <xf borderId="6" fillId="8" fontId="5" numFmtId="171" xfId="0" applyAlignment="1" applyBorder="1" applyFont="1" applyNumberFormat="1">
      <alignment shrinkToFit="0" vertical="top" wrapText="1"/>
    </xf>
    <xf borderId="12" fillId="0" fontId="16" numFmtId="166" xfId="0" applyAlignment="1" applyBorder="1" applyFont="1" applyNumberFormat="1">
      <alignment horizontal="center" vertical="center"/>
    </xf>
    <xf borderId="17" fillId="0" fontId="7" numFmtId="3" xfId="0" applyAlignment="1" applyBorder="1" applyFont="1" applyNumberFormat="1">
      <alignment horizontal="center" vertical="center"/>
    </xf>
    <xf borderId="18" fillId="0" fontId="7" numFmtId="3" xfId="0" applyAlignment="1" applyBorder="1" applyFont="1" applyNumberFormat="1">
      <alignment horizontal="center" vertical="center"/>
    </xf>
    <xf borderId="0" fillId="0" fontId="7" numFmtId="3" xfId="0" applyAlignment="1" applyFont="1" applyNumberFormat="1">
      <alignment horizontal="center" vertical="center"/>
    </xf>
    <xf borderId="0" fillId="0" fontId="4" numFmtId="166" xfId="0" applyFont="1" applyNumberFormat="1"/>
    <xf borderId="11" fillId="0" fontId="4" numFmtId="166" xfId="0" applyBorder="1" applyFont="1" applyNumberFormat="1"/>
    <xf borderId="11" fillId="8" fontId="16" numFmtId="166" xfId="0" applyAlignment="1" applyBorder="1" applyFont="1" applyNumberFormat="1">
      <alignment horizontal="center" vertical="center"/>
    </xf>
    <xf borderId="6" fillId="9" fontId="14" numFmtId="168" xfId="0" applyAlignment="1" applyBorder="1" applyFont="1" applyNumberFormat="1">
      <alignment shrinkToFit="0" vertical="top" wrapText="1"/>
    </xf>
    <xf borderId="0" fillId="0" fontId="9" numFmtId="168" xfId="0" applyAlignment="1" applyFont="1" applyNumberFormat="1">
      <alignment shrinkToFit="0" vertical="top" wrapText="1"/>
    </xf>
    <xf borderId="12" fillId="0" fontId="16" numFmtId="10" xfId="0" applyAlignment="1" applyBorder="1" applyFont="1" applyNumberFormat="1">
      <alignment horizontal="center" vertical="center"/>
    </xf>
    <xf borderId="6" fillId="9" fontId="14" numFmtId="170" xfId="0" applyAlignment="1" applyBorder="1" applyFont="1" applyNumberFormat="1">
      <alignment shrinkToFit="0" vertical="top" wrapText="1"/>
    </xf>
    <xf borderId="0" fillId="0" fontId="9" numFmtId="166" xfId="0" applyAlignment="1" applyFont="1" applyNumberFormat="1">
      <alignment shrinkToFit="0" vertical="top" wrapText="1"/>
    </xf>
    <xf borderId="9" fillId="10" fontId="12" numFmtId="0" xfId="0" applyAlignment="1" applyBorder="1" applyFill="1" applyFont="1">
      <alignment horizontal="center" vertical="center"/>
    </xf>
    <xf borderId="10" fillId="10" fontId="12" numFmtId="169" xfId="0" applyAlignment="1" applyBorder="1" applyFont="1" applyNumberFormat="1">
      <alignment horizontal="center" vertical="center"/>
    </xf>
    <xf borderId="16" fillId="8" fontId="16" numFmtId="166" xfId="0" applyAlignment="1" applyBorder="1" applyFont="1" applyNumberFormat="1">
      <alignment horizontal="center" vertical="center"/>
    </xf>
    <xf borderId="17" fillId="0" fontId="16" numFmtId="172" xfId="0" applyAlignment="1" applyBorder="1" applyFont="1" applyNumberFormat="1">
      <alignment horizontal="center" vertical="center"/>
    </xf>
    <xf borderId="18" fillId="0" fontId="16" numFmtId="173" xfId="0" applyAlignment="1" applyBorder="1" applyFont="1" applyNumberFormat="1">
      <alignment horizontal="center" vertical="center"/>
    </xf>
    <xf borderId="18" fillId="0" fontId="16" numFmtId="166" xfId="0" applyAlignment="1" applyBorder="1" applyFont="1" applyNumberFormat="1">
      <alignment horizontal="center" vertical="center"/>
    </xf>
    <xf borderId="5" fillId="8" fontId="7" numFmtId="166" xfId="0" applyAlignment="1" applyBorder="1" applyFont="1" applyNumberFormat="1">
      <alignment horizontal="center" vertical="center"/>
    </xf>
    <xf borderId="9" fillId="9" fontId="13" numFmtId="0" xfId="0" applyAlignment="1" applyBorder="1" applyFont="1">
      <alignment horizontal="center" vertical="center"/>
    </xf>
    <xf borderId="10" fillId="9" fontId="13" numFmtId="169" xfId="0" applyAlignment="1" applyBorder="1" applyFont="1" applyNumberFormat="1">
      <alignment horizontal="center" vertical="center"/>
    </xf>
    <xf borderId="0" fillId="0" fontId="16" numFmtId="10" xfId="0" applyAlignment="1" applyFont="1" applyNumberFormat="1">
      <alignment horizontal="center" vertical="center"/>
    </xf>
    <xf borderId="0" fillId="0" fontId="16" numFmtId="168" xfId="0" applyAlignment="1" applyFont="1" applyNumberFormat="1">
      <alignment horizontal="center" vertical="center"/>
    </xf>
    <xf borderId="0" fillId="0" fontId="16" numFmtId="174" xfId="0" applyAlignment="1" applyFont="1" applyNumberFormat="1">
      <alignment horizontal="center" vertical="center"/>
    </xf>
    <xf borderId="12" fillId="0" fontId="16" numFmtId="174" xfId="0" applyAlignment="1" applyBorder="1" applyFont="1" applyNumberFormat="1">
      <alignment horizontal="center" vertical="center"/>
    </xf>
    <xf borderId="12" fillId="0" fontId="4" numFmtId="174" xfId="0" applyBorder="1" applyFont="1" applyNumberFormat="1"/>
    <xf borderId="0" fillId="0" fontId="11" numFmtId="174" xfId="0" applyFont="1" applyNumberFormat="1"/>
    <xf borderId="12" fillId="0" fontId="12" numFmtId="167" xfId="0" applyAlignment="1" applyBorder="1" applyFont="1" applyNumberFormat="1">
      <alignment horizontal="center" vertical="center"/>
    </xf>
    <xf borderId="12" fillId="0" fontId="16" numFmtId="170" xfId="0" applyAlignment="1" applyBorder="1" applyFont="1" applyNumberFormat="1">
      <alignment horizontal="center" vertical="center"/>
    </xf>
    <xf borderId="12" fillId="0" fontId="4" numFmtId="170" xfId="0" applyBorder="1" applyFont="1" applyNumberFormat="1"/>
    <xf borderId="0" fillId="0" fontId="11" numFmtId="170" xfId="0" applyFont="1" applyNumberFormat="1"/>
    <xf borderId="19" fillId="11" fontId="13" numFmtId="0" xfId="0" applyAlignment="1" applyBorder="1" applyFill="1" applyFont="1">
      <alignment horizontal="center" vertical="center"/>
    </xf>
    <xf borderId="20" fillId="11" fontId="13" numFmtId="169" xfId="0" applyAlignment="1" applyBorder="1" applyFont="1" applyNumberFormat="1">
      <alignment horizontal="center" vertical="center"/>
    </xf>
    <xf borderId="12" fillId="0" fontId="4" numFmtId="168" xfId="0" applyBorder="1" applyFont="1" applyNumberFormat="1"/>
    <xf borderId="0" fillId="0" fontId="11" numFmtId="168" xfId="0" applyFont="1" applyNumberFormat="1"/>
    <xf borderId="17" fillId="0" fontId="16" numFmtId="10" xfId="0" applyAlignment="1" applyBorder="1" applyFont="1" applyNumberFormat="1">
      <alignment horizontal="center" vertical="center"/>
    </xf>
    <xf borderId="18" fillId="0" fontId="16" numFmtId="10" xfId="0" applyAlignment="1" applyBorder="1" applyFont="1" applyNumberFormat="1">
      <alignment horizontal="center" vertical="center"/>
    </xf>
    <xf borderId="12" fillId="0" fontId="4" numFmtId="166" xfId="0" applyBorder="1" applyFont="1" applyNumberFormat="1"/>
    <xf borderId="0" fillId="0" fontId="11" numFmtId="166" xfId="0" applyFont="1" applyNumberFormat="1"/>
    <xf borderId="6" fillId="8" fontId="5" numFmtId="166" xfId="0" applyAlignment="1" applyBorder="1" applyFont="1" applyNumberFormat="1">
      <alignment shrinkToFit="0" vertical="top" wrapText="1"/>
    </xf>
    <xf borderId="11" fillId="0" fontId="4" numFmtId="175" xfId="0" applyBorder="1" applyFont="1" applyNumberFormat="1"/>
    <xf borderId="0" fillId="0" fontId="6" numFmtId="175" xfId="0" applyAlignment="1" applyFont="1" applyNumberFormat="1">
      <alignment horizontal="center" vertical="center"/>
    </xf>
    <xf borderId="17" fillId="12" fontId="7" numFmtId="174" xfId="0" applyAlignment="1" applyBorder="1" applyFill="1" applyFont="1" applyNumberFormat="1">
      <alignment horizontal="center" vertical="center"/>
    </xf>
    <xf borderId="18" fillId="12" fontId="7" numFmtId="168" xfId="0" applyAlignment="1" applyBorder="1" applyFont="1" applyNumberFormat="1">
      <alignment horizontal="center" vertical="center"/>
    </xf>
    <xf borderId="18" fillId="12" fontId="7" numFmtId="174" xfId="0" applyAlignment="1" applyBorder="1" applyFont="1" applyNumberFormat="1">
      <alignment horizontal="center" vertical="center"/>
    </xf>
    <xf borderId="17" fillId="12" fontId="7" numFmtId="166" xfId="0" applyAlignment="1" applyBorder="1" applyFont="1" applyNumberFormat="1">
      <alignment horizontal="center" vertical="center"/>
    </xf>
    <xf borderId="18" fillId="12" fontId="7" numFmtId="170" xfId="0" applyAlignment="1" applyBorder="1" applyFont="1" applyNumberFormat="1">
      <alignment horizontal="center" vertical="center"/>
    </xf>
    <xf borderId="17" fillId="13" fontId="17" numFmtId="174" xfId="0" applyAlignment="1" applyBorder="1" applyFill="1" applyFont="1" applyNumberFormat="1">
      <alignment horizontal="center" vertical="center"/>
    </xf>
    <xf borderId="18" fillId="13" fontId="18" numFmtId="170" xfId="0" applyAlignment="1" applyBorder="1" applyFont="1" applyNumberFormat="1">
      <alignment horizontal="center" vertical="center"/>
    </xf>
    <xf borderId="0" fillId="0" fontId="16" numFmtId="1" xfId="0" applyAlignment="1" applyFont="1" applyNumberFormat="1">
      <alignment horizontal="center" vertical="center"/>
    </xf>
    <xf borderId="16" fillId="8" fontId="7" numFmtId="166" xfId="0" applyAlignment="1" applyBorder="1" applyFont="1" applyNumberFormat="1">
      <alignment horizontal="center" vertical="center"/>
    </xf>
    <xf borderId="17" fillId="8" fontId="16" numFmtId="3" xfId="0" applyAlignment="1" applyBorder="1" applyFont="1" applyNumberFormat="1">
      <alignment horizontal="center" vertical="center"/>
    </xf>
    <xf borderId="17" fillId="8" fontId="16" numFmtId="0" xfId="0" applyAlignment="1" applyBorder="1" applyFont="1">
      <alignment horizontal="center" vertical="center"/>
    </xf>
    <xf borderId="17" fillId="14" fontId="16" numFmtId="166" xfId="0" applyAlignment="1" applyBorder="1" applyFill="1" applyFont="1" applyNumberFormat="1">
      <alignment horizontal="center" vertical="center"/>
    </xf>
    <xf borderId="17" fillId="12" fontId="16" numFmtId="166" xfId="0" applyAlignment="1" applyBorder="1" applyFont="1" applyNumberFormat="1">
      <alignment horizontal="center" vertical="center"/>
    </xf>
    <xf borderId="18" fillId="15" fontId="19" numFmtId="166" xfId="0" applyAlignment="1" applyBorder="1" applyFill="1" applyFont="1" applyNumberFormat="1">
      <alignment horizontal="center" vertical="center"/>
    </xf>
    <xf borderId="15" fillId="7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10" xfId="0" applyAlignment="1" applyFont="1" applyNumberFormat="1">
      <alignment horizontal="center" vertical="center"/>
    </xf>
    <xf borderId="11" fillId="0" fontId="4" numFmtId="176" xfId="0" applyBorder="1" applyFont="1" applyNumberFormat="1"/>
    <xf borderId="5" fillId="8" fontId="7" numFmtId="176" xfId="0" applyAlignment="1" applyBorder="1" applyFont="1" applyNumberFormat="1">
      <alignment horizontal="center" vertical="center"/>
    </xf>
    <xf borderId="5" fillId="8" fontId="7" numFmtId="0" xfId="0" applyAlignment="1" applyBorder="1" applyFont="1">
      <alignment horizontal="center" shrinkToFit="0" vertical="center" wrapText="1"/>
    </xf>
    <xf borderId="7" fillId="8" fontId="7" numFmtId="0" xfId="0" applyAlignment="1" applyBorder="1" applyFont="1">
      <alignment horizontal="center" shrinkToFit="0" vertical="center" wrapText="1"/>
    </xf>
    <xf borderId="8" fillId="8" fontId="7" numFmtId="0" xfId="0" applyAlignment="1" applyBorder="1" applyFont="1">
      <alignment horizontal="center" shrinkToFit="0" vertical="center" wrapText="1"/>
    </xf>
    <xf borderId="15" fillId="7" fontId="5" numFmtId="0" xfId="0" applyAlignment="1" applyBorder="1" applyFont="1">
      <alignment horizontal="center" shrinkToFit="0" vertical="center" wrapText="1"/>
    </xf>
    <xf borderId="11" fillId="8" fontId="16" numFmtId="175" xfId="0" applyAlignment="1" applyBorder="1" applyFont="1" applyNumberFormat="1">
      <alignment horizontal="center" vertical="center"/>
    </xf>
    <xf borderId="12" fillId="0" fontId="16" numFmtId="1" xfId="0" applyAlignment="1" applyBorder="1" applyFont="1" applyNumberFormat="1">
      <alignment horizontal="center" vertical="center"/>
    </xf>
    <xf borderId="11" fillId="8" fontId="16" numFmtId="0" xfId="0" applyAlignment="1" applyBorder="1" applyFont="1">
      <alignment horizontal="center" shrinkToFit="0" vertical="center" wrapText="1"/>
    </xf>
    <xf borderId="0" fillId="0" fontId="9" numFmtId="3" xfId="0" applyAlignment="1" applyFont="1" applyNumberFormat="1">
      <alignment horizontal="center" shrinkToFit="0" vertical="center" wrapText="1"/>
    </xf>
    <xf borderId="0" fillId="0" fontId="9" numFmtId="2" xfId="0" applyAlignment="1" applyFont="1" applyNumberFormat="1">
      <alignment horizontal="center" shrinkToFit="0" vertical="center" wrapText="1"/>
    </xf>
    <xf borderId="0" fillId="0" fontId="9" numFmtId="4" xfId="0" applyAlignment="1" applyFont="1" applyNumberFormat="1">
      <alignment horizontal="center" shrinkToFit="0" vertical="center" wrapText="1"/>
    </xf>
    <xf borderId="0" fillId="0" fontId="9" numFmtId="167" xfId="0" applyAlignment="1" applyFont="1" applyNumberFormat="1">
      <alignment horizontal="center" shrinkToFit="0" vertical="center" wrapText="1"/>
    </xf>
    <xf borderId="0" fillId="0" fontId="9" numFmtId="171" xfId="0" applyAlignment="1" applyFont="1" applyNumberFormat="1">
      <alignment horizontal="center" shrinkToFit="0" vertical="center" wrapText="1"/>
    </xf>
    <xf borderId="12" fillId="0" fontId="9" numFmtId="166" xfId="0" applyAlignment="1" applyBorder="1" applyFont="1" applyNumberFormat="1">
      <alignment horizontal="center" shrinkToFit="0" vertical="center" wrapText="1"/>
    </xf>
    <xf borderId="5" fillId="8" fontId="5" numFmtId="0" xfId="0" applyAlignment="1" applyBorder="1" applyFont="1">
      <alignment horizontal="center" shrinkToFit="0" vertical="center" wrapText="1"/>
    </xf>
    <xf borderId="7" fillId="8" fontId="5" numFmtId="0" xfId="0" applyAlignment="1" applyBorder="1" applyFont="1">
      <alignment horizontal="center" shrinkToFit="0" vertical="center" wrapText="1"/>
    </xf>
    <xf borderId="8" fillId="8" fontId="5" numFmtId="0" xfId="0" applyAlignment="1" applyBorder="1" applyFont="1">
      <alignment horizontal="center" shrinkToFit="0" vertical="center" wrapText="1"/>
    </xf>
    <xf borderId="11" fillId="8" fontId="9" numFmtId="0" xfId="0" applyAlignment="1" applyBorder="1" applyFont="1">
      <alignment horizontal="center" shrinkToFit="0" vertical="center" wrapText="1"/>
    </xf>
    <xf borderId="0" fillId="0" fontId="9" numFmtId="166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6" fillId="8" fontId="7" numFmtId="0" xfId="0" applyAlignment="1" applyBorder="1" applyFont="1">
      <alignment horizontal="center" shrinkToFit="0" vertical="center" wrapText="1"/>
    </xf>
    <xf borderId="17" fillId="0" fontId="5" numFmtId="3" xfId="0" applyAlignment="1" applyBorder="1" applyFont="1" applyNumberFormat="1">
      <alignment horizontal="center" shrinkToFit="0" vertical="center" wrapText="1"/>
    </xf>
    <xf borderId="17" fillId="0" fontId="5" numFmtId="0" xfId="0" applyAlignment="1" applyBorder="1" applyFont="1">
      <alignment horizontal="center" shrinkToFit="0" vertical="center" wrapText="1"/>
    </xf>
    <xf borderId="17" fillId="0" fontId="5" numFmtId="4" xfId="0" applyAlignment="1" applyBorder="1" applyFont="1" applyNumberFormat="1">
      <alignment horizontal="center" shrinkToFit="0" vertical="center" wrapText="1"/>
    </xf>
    <xf borderId="18" fillId="0" fontId="5" numFmtId="166" xfId="0" applyAlignment="1" applyBorder="1" applyFont="1" applyNumberFormat="1">
      <alignment horizontal="center" shrinkToFit="0" vertical="center" wrapText="1"/>
    </xf>
    <xf borderId="17" fillId="0" fontId="16" numFmtId="1" xfId="0" applyAlignment="1" applyBorder="1" applyFont="1" applyNumberFormat="1">
      <alignment horizontal="center" vertical="center"/>
    </xf>
    <xf borderId="18" fillId="0" fontId="16" numFmtId="1" xfId="0" applyAlignment="1" applyBorder="1" applyFont="1" applyNumberFormat="1">
      <alignment horizontal="center" vertical="center"/>
    </xf>
    <xf borderId="0" fillId="0" fontId="6" numFmtId="174" xfId="0" applyAlignment="1" applyFont="1" applyNumberFormat="1">
      <alignment horizontal="center" vertical="center"/>
    </xf>
    <xf borderId="5" fillId="8" fontId="16" numFmtId="0" xfId="0" applyAlignment="1" applyBorder="1" applyFont="1">
      <alignment horizontal="center" vertical="center"/>
    </xf>
    <xf borderId="7" fillId="0" fontId="16" numFmtId="0" xfId="0" applyAlignment="1" applyBorder="1" applyFont="1">
      <alignment horizontal="center" vertical="center"/>
    </xf>
    <xf borderId="8" fillId="0" fontId="16" numFmtId="177" xfId="0" applyAlignment="1" applyBorder="1" applyFont="1" applyNumberForma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11" fillId="0" fontId="6" numFmtId="172" xfId="0" applyAlignment="1" applyBorder="1" applyFont="1" applyNumberFormat="1">
      <alignment horizontal="center" vertical="center"/>
    </xf>
    <xf borderId="12" fillId="0" fontId="16" numFmtId="177" xfId="0" applyAlignment="1" applyBorder="1" applyFont="1" applyNumberFormat="1">
      <alignment horizontal="center" vertical="center"/>
    </xf>
    <xf borderId="0" fillId="0" fontId="7" numFmtId="174" xfId="0" applyAlignment="1" applyFont="1" applyNumberFormat="1">
      <alignment horizontal="center" vertical="center"/>
    </xf>
    <xf borderId="11" fillId="0" fontId="6" numFmtId="0" xfId="0" applyAlignment="1" applyBorder="1" applyFont="1">
      <alignment horizontal="center" vertical="center"/>
    </xf>
    <xf borderId="0" fillId="0" fontId="6" numFmtId="166" xfId="0" applyAlignment="1" applyFont="1" applyNumberFormat="1">
      <alignment horizontal="center" vertical="center"/>
    </xf>
    <xf borderId="18" fillId="0" fontId="16" numFmtId="177" xfId="0" applyAlignment="1" applyBorder="1" applyFont="1" applyNumberFormat="1">
      <alignment horizontal="center" vertical="center"/>
    </xf>
    <xf borderId="0" fillId="0" fontId="9" numFmtId="172" xfId="0" applyAlignment="1" applyFont="1" applyNumberFormat="1">
      <alignment horizontal="center" shrinkToFit="0" vertical="center" wrapText="1"/>
    </xf>
    <xf borderId="13" fillId="8" fontId="16" numFmtId="0" xfId="0" applyAlignment="1" applyBorder="1" applyFont="1">
      <alignment horizontal="center" vertical="center"/>
    </xf>
    <xf borderId="14" fillId="0" fontId="16" numFmtId="0" xfId="0" applyAlignment="1" applyBorder="1" applyFont="1">
      <alignment horizontal="center" vertical="center"/>
    </xf>
    <xf borderId="11" fillId="8" fontId="16" numFmtId="172" xfId="0" applyAlignment="1" applyBorder="1" applyFont="1" applyNumberFormat="1">
      <alignment horizontal="center" vertical="center"/>
    </xf>
    <xf borderId="11" fillId="8" fontId="7" numFmtId="172" xfId="0" applyAlignment="1" applyBorder="1" applyFont="1" applyNumberFormat="1">
      <alignment horizontal="center" vertical="center"/>
    </xf>
    <xf borderId="12" fillId="0" fontId="7" numFmtId="0" xfId="0" applyAlignment="1" applyBorder="1" applyFont="1">
      <alignment horizontal="center" vertical="center"/>
    </xf>
    <xf borderId="11" fillId="3" fontId="5" numFmtId="0" xfId="0" applyAlignment="1" applyBorder="1" applyFont="1">
      <alignment horizontal="center" shrinkToFit="0" vertical="center" wrapText="1"/>
    </xf>
    <xf borderId="0" fillId="3" fontId="5" numFmtId="178" xfId="0" applyAlignment="1" applyFont="1" applyNumberForma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1"/>
    </xf>
    <xf borderId="12" fillId="3" fontId="5" numFmtId="0" xfId="0" applyAlignment="1" applyBorder="1" applyFont="1">
      <alignment horizontal="center" shrinkToFit="0" vertical="center" wrapText="1"/>
    </xf>
    <xf borderId="16" fillId="8" fontId="7" numFmtId="172" xfId="0" applyAlignment="1" applyBorder="1" applyFont="1" applyNumberFormat="1">
      <alignment horizontal="center" vertical="center"/>
    </xf>
    <xf borderId="18" fillId="0" fontId="7" numFmtId="0" xfId="0" applyAlignment="1" applyBorder="1" applyFont="1">
      <alignment horizontal="center" vertical="center"/>
    </xf>
    <xf borderId="17" fillId="0" fontId="5" numFmtId="166" xfId="0" applyAlignment="1" applyBorder="1" applyFont="1" applyNumberForma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0" fillId="0" fontId="7" numFmtId="10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6" fillId="0" fontId="6" numFmtId="0" xfId="0" applyAlignment="1" applyBorder="1" applyFont="1">
      <alignment horizontal="center" vertical="center"/>
    </xf>
    <xf borderId="17" fillId="0" fontId="16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18" fillId="0" fontId="4" numFmtId="0" xfId="0" applyBorder="1" applyFont="1"/>
    <xf borderId="12" fillId="0" fontId="6" numFmtId="0" xfId="0" applyAlignment="1" applyBorder="1" applyFont="1">
      <alignment horizontal="center" vertical="center"/>
    </xf>
    <xf borderId="16" fillId="16" fontId="5" numFmtId="0" xfId="0" applyAlignment="1" applyBorder="1" applyFill="1" applyFont="1">
      <alignment horizontal="center" shrinkToFit="0" vertical="center" wrapText="1"/>
    </xf>
    <xf borderId="17" fillId="16" fontId="5" numFmtId="178" xfId="0" applyAlignment="1" applyBorder="1" applyFont="1" applyNumberFormat="1">
      <alignment horizontal="center" shrinkToFit="0" vertical="center" wrapText="1"/>
    </xf>
    <xf borderId="17" fillId="16" fontId="9" numFmtId="0" xfId="0" applyAlignment="1" applyBorder="1" applyFont="1">
      <alignment horizontal="center" shrinkToFit="0" vertical="center" wrapText="1"/>
    </xf>
    <xf borderId="18" fillId="16" fontId="9" numFmtId="0" xfId="0" applyAlignment="1" applyBorder="1" applyFont="1">
      <alignment horizontal="center" shrinkToFit="0" vertical="center" wrapText="1"/>
    </xf>
    <xf borderId="0" fillId="0" fontId="16" numFmtId="166" xfId="0" applyAlignment="1" applyFont="1" applyNumberFormat="1">
      <alignment horizontal="center" shrinkToFit="0" vertical="center" wrapText="1"/>
    </xf>
    <xf borderId="12" fillId="0" fontId="16" numFmtId="0" xfId="0" applyAlignment="1" applyBorder="1" applyFont="1">
      <alignment horizontal="center" shrinkToFit="0" vertical="center" wrapText="1"/>
    </xf>
    <xf borderId="16" fillId="0" fontId="4" numFmtId="0" xfId="0" applyBorder="1" applyFont="1"/>
    <xf borderId="17" fillId="0" fontId="9" numFmtId="166" xfId="0" applyAlignment="1" applyBorder="1" applyFont="1" applyNumberFormat="1">
      <alignment horizontal="center" shrinkToFit="0" vertical="center" wrapText="1"/>
    </xf>
    <xf borderId="17" fillId="0" fontId="4" numFmtId="0" xfId="0" applyAlignment="1" applyBorder="1" applyFont="1">
      <alignment horizontal="center" vertical="center"/>
    </xf>
    <xf borderId="0" fillId="0" fontId="4" numFmtId="179" xfId="0" applyAlignment="1" applyFont="1" applyNumberFormat="1">
      <alignment horizontal="center" vertical="center"/>
    </xf>
    <xf borderId="11" fillId="16" fontId="7" numFmtId="0" xfId="0" applyAlignment="1" applyBorder="1" applyFont="1">
      <alignment horizontal="center" shrinkToFit="0" vertical="center" wrapText="1"/>
    </xf>
    <xf borderId="0" fillId="16" fontId="5" numFmtId="166" xfId="0" applyAlignment="1" applyFont="1" applyNumberFormat="1">
      <alignment horizontal="center" shrinkToFit="0" vertical="center" wrapText="1"/>
    </xf>
    <xf borderId="0" fillId="16" fontId="7" numFmtId="166" xfId="0" applyAlignment="1" applyFont="1" applyNumberFormat="1">
      <alignment horizontal="center" shrinkToFit="0" vertical="center" wrapText="1"/>
    </xf>
    <xf borderId="12" fillId="16" fontId="16" numFmtId="0" xfId="0" applyAlignment="1" applyBorder="1" applyFont="1">
      <alignment horizontal="center" shrinkToFit="0" vertical="center" wrapText="1"/>
    </xf>
    <xf borderId="16" fillId="8" fontId="16" numFmtId="0" xfId="0" applyAlignment="1" applyBorder="1" applyFont="1">
      <alignment horizontal="center" shrinkToFit="0" vertical="center" wrapText="1"/>
    </xf>
    <xf borderId="17" fillId="17" fontId="9" numFmtId="166" xfId="0" applyAlignment="1" applyBorder="1" applyFill="1" applyFont="1" applyNumberFormat="1">
      <alignment horizontal="center" shrinkToFit="0" vertical="center" wrapText="1"/>
    </xf>
    <xf borderId="17" fillId="17" fontId="16" numFmtId="166" xfId="0" applyAlignment="1" applyBorder="1" applyFont="1" applyNumberFormat="1">
      <alignment horizontal="center" shrinkToFit="0" vertical="center" wrapText="1"/>
    </xf>
    <xf borderId="18" fillId="17" fontId="16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20" numFmtId="10" xfId="0" applyAlignment="1" applyFont="1" applyNumberFormat="1">
      <alignment horizontal="center" vertical="center"/>
    </xf>
    <xf borderId="0" fillId="0" fontId="20" numFmtId="166" xfId="0" applyAlignment="1" applyFont="1" applyNumberFormat="1">
      <alignment horizontal="center" vertical="center"/>
    </xf>
    <xf borderId="0" fillId="0" fontId="20" numFmtId="3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7.63"/>
    <col customWidth="1" min="3" max="3" width="6.38"/>
    <col customWidth="1" min="4" max="4" width="6.63"/>
    <col customWidth="1" min="5" max="5" width="37.13"/>
    <col customWidth="1" min="6" max="6" width="16.63"/>
    <col customWidth="1" min="7" max="7" width="14.63"/>
    <col customWidth="1" min="8" max="8" width="12.13"/>
    <col customWidth="1" min="9" max="9" width="24.38"/>
    <col customWidth="1" min="10" max="10" width="17.88"/>
    <col customWidth="1" min="11" max="11" width="9.25"/>
    <col customWidth="1" min="12" max="12" width="9.75"/>
    <col customWidth="1" min="13" max="13" width="7.38"/>
    <col customWidth="1" min="14" max="14" width="6.63"/>
    <col customWidth="1" min="15" max="15" width="21.38"/>
    <col customWidth="1" min="16" max="16" width="12.0"/>
    <col customWidth="1" min="17" max="17" width="12.88"/>
    <col customWidth="1" min="18" max="18" width="9.88"/>
    <col customWidth="1" min="19" max="19" width="12.63"/>
    <col customWidth="1" min="20" max="20" width="38.5"/>
    <col customWidth="1" min="21" max="21" width="8.38"/>
    <col customWidth="1" min="22" max="22" width="6.0"/>
    <col customWidth="1" min="23" max="23" width="8.38"/>
    <col customWidth="1" min="24" max="24" width="6.25"/>
    <col customWidth="1" min="25" max="25" width="7.13"/>
    <col customWidth="1" min="26" max="26" width="25.88"/>
    <col customWidth="1" min="27" max="27" width="14.0"/>
    <col customWidth="1" min="28" max="28" width="19.13"/>
    <col customWidth="1" min="29" max="29" width="16.38"/>
    <col customWidth="1" min="30" max="30" width="24.88"/>
    <col customWidth="1" min="31" max="31" width="23.63"/>
    <col customWidth="1" min="32" max="32" width="16.63"/>
    <col customWidth="1" min="33" max="33" width="13.13"/>
    <col customWidth="1" min="34" max="34" width="29.25"/>
    <col customWidth="1" min="35" max="35" width="17.5"/>
    <col customWidth="1" min="36" max="36" width="26.13"/>
    <col customWidth="1" min="37" max="37" width="17.75"/>
    <col customWidth="1" min="38" max="38" width="28.25"/>
    <col customWidth="1" min="39" max="39" width="16.63"/>
    <col customWidth="1" min="40" max="40" width="16.25"/>
    <col customWidth="1" min="41" max="42" width="19.63"/>
  </cols>
  <sheetData>
    <row r="1">
      <c r="A1" s="2" t="s">
        <v>0</v>
      </c>
      <c r="B1" s="4"/>
      <c r="D1" s="6"/>
      <c r="E1" s="8"/>
      <c r="F1" s="8"/>
      <c r="G1" s="9"/>
      <c r="H1" s="10" t="s">
        <v>5</v>
      </c>
      <c r="I1" s="9"/>
      <c r="J1" s="8"/>
      <c r="K1" s="8"/>
      <c r="L1" s="8"/>
      <c r="M1" s="8"/>
      <c r="N1" s="6"/>
      <c r="O1" s="8"/>
      <c r="P1" s="8"/>
      <c r="Q1" s="8"/>
      <c r="R1" s="8"/>
      <c r="S1" s="10" t="s">
        <v>7</v>
      </c>
      <c r="T1" s="9"/>
      <c r="U1" s="12"/>
      <c r="V1" s="8"/>
      <c r="W1" s="8"/>
      <c r="X1" s="9"/>
      <c r="Y1" s="14"/>
      <c r="Z1" s="8"/>
      <c r="AA1" s="8"/>
      <c r="AB1" s="8"/>
      <c r="AC1" s="8"/>
      <c r="AD1" s="12"/>
      <c r="AE1" s="8"/>
      <c r="AF1" s="8"/>
      <c r="AG1" s="10" t="s">
        <v>9</v>
      </c>
      <c r="AH1" s="9"/>
      <c r="AI1" s="9"/>
      <c r="AJ1" s="9"/>
      <c r="AK1" s="9"/>
      <c r="AL1" s="9"/>
      <c r="AM1" s="9"/>
      <c r="AN1" s="9"/>
      <c r="AO1" s="16"/>
      <c r="AP1" s="23"/>
    </row>
    <row r="2">
      <c r="A2" s="17" t="s">
        <v>15</v>
      </c>
      <c r="B2" s="18"/>
      <c r="D2" s="19"/>
      <c r="E2" s="21"/>
      <c r="F2" s="22"/>
      <c r="G2" s="22"/>
      <c r="H2" s="24"/>
      <c r="I2" s="22"/>
      <c r="J2" s="22"/>
      <c r="K2" s="21"/>
      <c r="L2" s="21"/>
      <c r="M2" s="21"/>
      <c r="N2" s="19"/>
      <c r="O2" s="21"/>
      <c r="P2" s="21"/>
      <c r="Q2" s="21"/>
      <c r="R2" s="21"/>
      <c r="S2" s="21"/>
      <c r="T2" s="22"/>
      <c r="U2" s="21"/>
      <c r="V2" s="21"/>
      <c r="W2" s="21"/>
      <c r="X2" s="22"/>
      <c r="Y2" s="28"/>
      <c r="Z2" s="21"/>
      <c r="AA2" s="21"/>
      <c r="AB2" s="21"/>
      <c r="AC2" s="21"/>
      <c r="AD2" s="21"/>
      <c r="AE2" s="21"/>
      <c r="AF2" s="21"/>
      <c r="AG2" s="22"/>
      <c r="AH2" s="22"/>
      <c r="AI2" s="22"/>
      <c r="AJ2" s="22"/>
      <c r="AK2" s="22"/>
      <c r="AL2" s="22"/>
      <c r="AM2" s="22"/>
      <c r="AN2" s="22"/>
      <c r="AO2" s="29"/>
      <c r="AP2" s="23"/>
    </row>
    <row r="3">
      <c r="A3" s="30" t="s">
        <v>19</v>
      </c>
      <c r="B3" s="32">
        <v>120000.0</v>
      </c>
      <c r="D3" s="19"/>
      <c r="E3" s="21"/>
      <c r="F3" s="21"/>
      <c r="G3" s="21"/>
      <c r="H3" s="21"/>
      <c r="I3" s="21"/>
      <c r="J3" s="21"/>
      <c r="K3" s="21"/>
      <c r="L3" s="21"/>
      <c r="M3" s="21"/>
      <c r="N3" s="19"/>
      <c r="O3" s="21"/>
      <c r="P3" s="21"/>
      <c r="Q3" s="21"/>
      <c r="R3" s="21"/>
      <c r="S3" s="21"/>
      <c r="T3" s="22"/>
      <c r="U3" s="21"/>
      <c r="V3" s="21"/>
      <c r="W3" s="21"/>
      <c r="X3" s="22"/>
      <c r="Y3" s="28"/>
      <c r="Z3" s="21"/>
      <c r="AA3" s="21"/>
      <c r="AB3" s="21"/>
      <c r="AC3" s="21"/>
      <c r="AD3" s="21"/>
      <c r="AE3" s="21"/>
      <c r="AF3" s="21"/>
      <c r="AG3" s="22"/>
      <c r="AH3" s="22"/>
      <c r="AI3" s="22"/>
      <c r="AJ3" s="22"/>
      <c r="AK3" s="22"/>
      <c r="AL3" s="22"/>
      <c r="AM3" s="22"/>
      <c r="AN3" s="22"/>
      <c r="AO3" s="29"/>
      <c r="AP3" s="23"/>
    </row>
    <row r="4">
      <c r="A4" s="30" t="s">
        <v>28</v>
      </c>
      <c r="B4" s="34">
        <v>0.009</v>
      </c>
      <c r="C4" s="35"/>
      <c r="D4" s="19"/>
      <c r="E4" s="36" t="s">
        <v>33</v>
      </c>
      <c r="F4" s="37" t="s">
        <v>35</v>
      </c>
      <c r="G4" s="38" t="s">
        <v>37</v>
      </c>
      <c r="H4" s="22"/>
      <c r="I4" s="21"/>
      <c r="J4" s="39" t="s">
        <v>38</v>
      </c>
      <c r="K4" s="41">
        <f>$B$3</f>
        <v>120000</v>
      </c>
      <c r="L4" s="21"/>
      <c r="M4" s="21"/>
      <c r="N4" s="19"/>
      <c r="O4" s="42" t="s">
        <v>43</v>
      </c>
      <c r="P4" s="43"/>
      <c r="Q4" s="22"/>
      <c r="R4" s="22"/>
      <c r="S4" s="22"/>
      <c r="T4" s="42" t="s">
        <v>46</v>
      </c>
      <c r="U4" s="21"/>
      <c r="V4" s="21"/>
      <c r="W4" s="21"/>
      <c r="X4" s="22"/>
      <c r="Y4" s="28"/>
      <c r="Z4" s="36" t="s">
        <v>47</v>
      </c>
      <c r="AA4" s="44"/>
      <c r="AB4" s="45"/>
      <c r="AC4" s="22"/>
      <c r="AD4" s="42" t="s">
        <v>49</v>
      </c>
      <c r="AE4" s="43"/>
      <c r="AF4" s="22"/>
      <c r="AG4" s="22"/>
      <c r="AH4" s="42" t="s">
        <v>52</v>
      </c>
      <c r="AI4" s="22"/>
      <c r="AJ4" s="22"/>
      <c r="AK4" s="22"/>
      <c r="AL4" s="42" t="s">
        <v>56</v>
      </c>
      <c r="AM4" s="43"/>
      <c r="AN4" s="22"/>
      <c r="AO4" s="29"/>
      <c r="AP4" s="23"/>
    </row>
    <row r="5">
      <c r="A5" s="30" t="s">
        <v>57</v>
      </c>
      <c r="B5" s="34">
        <v>0.001</v>
      </c>
      <c r="C5" s="35"/>
      <c r="D5" s="19"/>
      <c r="E5" s="46" t="s">
        <v>59</v>
      </c>
      <c r="F5" s="48">
        <f>1-$B$4-$B$5</f>
        <v>0.99</v>
      </c>
      <c r="G5" s="49">
        <f>$B$4</f>
        <v>0.009</v>
      </c>
      <c r="H5" s="48"/>
      <c r="I5" s="21"/>
      <c r="J5" s="21"/>
      <c r="K5" s="21"/>
      <c r="L5" s="21"/>
      <c r="M5" s="21"/>
      <c r="N5" s="19"/>
      <c r="O5" s="50" t="s">
        <v>68</v>
      </c>
      <c r="P5" s="37" t="s">
        <v>70</v>
      </c>
      <c r="Q5" s="38" t="s">
        <v>71</v>
      </c>
      <c r="R5" s="22"/>
      <c r="S5" s="22"/>
      <c r="T5" s="50" t="s">
        <v>73</v>
      </c>
      <c r="U5" s="37" t="s">
        <v>35</v>
      </c>
      <c r="V5" s="38" t="s">
        <v>37</v>
      </c>
      <c r="W5" s="21"/>
      <c r="X5" s="22"/>
      <c r="Y5" s="28"/>
      <c r="Z5" s="46" t="s">
        <v>73</v>
      </c>
      <c r="AA5" s="51" t="s">
        <v>35</v>
      </c>
      <c r="AB5" s="52" t="s">
        <v>37</v>
      </c>
      <c r="AC5" s="43"/>
      <c r="AD5" s="50" t="s">
        <v>73</v>
      </c>
      <c r="AE5" s="37" t="s">
        <v>35</v>
      </c>
      <c r="AF5" s="38" t="s">
        <v>37</v>
      </c>
      <c r="AG5" s="21"/>
      <c r="AH5" s="50" t="s">
        <v>73</v>
      </c>
      <c r="AI5" s="37" t="s">
        <v>35</v>
      </c>
      <c r="AJ5" s="38" t="s">
        <v>37</v>
      </c>
      <c r="AK5" s="21"/>
      <c r="AL5" s="50" t="s">
        <v>73</v>
      </c>
      <c r="AM5" s="37" t="s">
        <v>35</v>
      </c>
      <c r="AN5" s="38" t="s">
        <v>37</v>
      </c>
      <c r="AO5" s="29"/>
      <c r="AP5" s="23"/>
    </row>
    <row r="6">
      <c r="A6" s="30"/>
      <c r="B6" s="54"/>
      <c r="C6" s="35"/>
      <c r="D6" s="19"/>
      <c r="E6" s="46" t="s">
        <v>83</v>
      </c>
      <c r="F6" s="55" t="s">
        <v>84</v>
      </c>
      <c r="G6" s="49">
        <f>$B$5</f>
        <v>0.001</v>
      </c>
      <c r="H6" s="22"/>
      <c r="I6" s="21"/>
      <c r="J6" s="42" t="s">
        <v>86</v>
      </c>
      <c r="K6" s="21"/>
      <c r="L6" s="21"/>
      <c r="M6" s="21"/>
      <c r="N6" s="56"/>
      <c r="O6" s="57">
        <f>'Simple Inputs'!$E$27</f>
        <v>3</v>
      </c>
      <c r="P6" s="59">
        <f>'Simple Inputs'!$F$27</f>
        <v>1.99</v>
      </c>
      <c r="Q6" s="61">
        <f t="shared" ref="Q6:Q9" si="2">P6/O6</f>
        <v>0.6633333333</v>
      </c>
      <c r="R6" s="22"/>
      <c r="S6" s="22"/>
      <c r="T6" s="62" t="s">
        <v>92</v>
      </c>
      <c r="U6" s="63">
        <v>3.0</v>
      </c>
      <c r="V6" s="64">
        <v>3.0</v>
      </c>
      <c r="W6" s="21"/>
      <c r="X6" s="22"/>
      <c r="Y6" s="28"/>
      <c r="Z6" s="62" t="s">
        <v>95</v>
      </c>
      <c r="AA6" s="55">
        <v>5100.0</v>
      </c>
      <c r="AB6" s="65">
        <v>20000.0</v>
      </c>
      <c r="AC6" s="55"/>
      <c r="AD6" s="62" t="s">
        <v>95</v>
      </c>
      <c r="AE6" s="55">
        <v>4300.0</v>
      </c>
      <c r="AF6" s="65">
        <v>25000.0</v>
      </c>
      <c r="AG6" s="21"/>
      <c r="AH6" s="62" t="s">
        <v>92</v>
      </c>
      <c r="AI6" s="55">
        <v>0.0</v>
      </c>
      <c r="AJ6" s="65">
        <v>0.0</v>
      </c>
      <c r="AK6" s="67"/>
      <c r="AL6" s="62" t="s">
        <v>95</v>
      </c>
      <c r="AM6" s="55">
        <v>0.0</v>
      </c>
      <c r="AN6" s="65">
        <v>0.0</v>
      </c>
      <c r="AO6" s="68"/>
      <c r="AP6" s="69"/>
    </row>
    <row r="7">
      <c r="A7" s="17" t="s">
        <v>99</v>
      </c>
      <c r="B7" s="18"/>
      <c r="C7" s="35"/>
      <c r="D7" s="19"/>
      <c r="E7" s="46" t="s">
        <v>101</v>
      </c>
      <c r="F7" s="55">
        <f t="shared" ref="F7:G7" si="1">FLOOR(F5*$K$4, 1)</f>
        <v>118800</v>
      </c>
      <c r="G7" s="65">
        <f t="shared" si="1"/>
        <v>1080</v>
      </c>
      <c r="H7" s="22"/>
      <c r="I7" s="21"/>
      <c r="J7" s="50" t="s">
        <v>104</v>
      </c>
      <c r="K7" s="37" t="s">
        <v>35</v>
      </c>
      <c r="L7" s="38" t="s">
        <v>37</v>
      </c>
      <c r="M7" s="21"/>
      <c r="N7" s="56"/>
      <c r="O7" s="57">
        <f>'Simple Inputs'!$E$28</f>
        <v>10</v>
      </c>
      <c r="P7" s="59">
        <f>'Simple Inputs'!$F$28</f>
        <v>4.99</v>
      </c>
      <c r="Q7" s="61">
        <f t="shared" si="2"/>
        <v>0.499</v>
      </c>
      <c r="R7" s="22"/>
      <c r="S7" s="22"/>
      <c r="T7" s="62" t="s">
        <v>110</v>
      </c>
      <c r="U7" s="63">
        <v>3.0</v>
      </c>
      <c r="V7" s="64">
        <v>3.0</v>
      </c>
      <c r="W7" s="21"/>
      <c r="X7" s="22"/>
      <c r="Y7" s="28"/>
      <c r="Z7" s="62" t="s">
        <v>112</v>
      </c>
      <c r="AA7" s="55">
        <v>4600.0</v>
      </c>
      <c r="AB7" s="65">
        <v>1400.0</v>
      </c>
      <c r="AC7" s="55"/>
      <c r="AD7" s="62" t="s">
        <v>112</v>
      </c>
      <c r="AE7" s="55">
        <v>5200.0</v>
      </c>
      <c r="AF7" s="65">
        <v>4700.0</v>
      </c>
      <c r="AG7" s="21"/>
      <c r="AH7" s="62" t="s">
        <v>113</v>
      </c>
      <c r="AI7" s="55">
        <v>0.0</v>
      </c>
      <c r="AJ7" s="65">
        <v>4700.0</v>
      </c>
      <c r="AK7" s="67"/>
      <c r="AL7" s="62" t="s">
        <v>112</v>
      </c>
      <c r="AM7" s="55">
        <v>0.0</v>
      </c>
      <c r="AN7" s="65">
        <v>0.0</v>
      </c>
      <c r="AO7" s="68"/>
      <c r="AP7" s="69"/>
    </row>
    <row r="8">
      <c r="A8" s="30" t="s">
        <v>115</v>
      </c>
      <c r="B8" s="70">
        <f>$F$26</f>
        <v>26258.7256</v>
      </c>
      <c r="C8" s="35"/>
      <c r="D8" s="19"/>
      <c r="E8" s="46" t="s">
        <v>117</v>
      </c>
      <c r="F8" s="55" t="s">
        <v>84</v>
      </c>
      <c r="G8" s="65">
        <f>FLOOR(G6*$K$4, 1)</f>
        <v>120</v>
      </c>
      <c r="H8" s="22"/>
      <c r="I8" s="21"/>
      <c r="J8" s="46" t="s">
        <v>119</v>
      </c>
      <c r="K8" s="43" t="s">
        <v>84</v>
      </c>
      <c r="L8" s="71">
        <f>'Simple Inputs'!$E$13</f>
        <v>16.99</v>
      </c>
      <c r="M8" s="21"/>
      <c r="N8" s="56"/>
      <c r="O8" s="57">
        <f>'Simple Inputs'!$E$29</f>
        <v>25</v>
      </c>
      <c r="P8" s="59">
        <f>'Simple Inputs'!$F$29</f>
        <v>9.99</v>
      </c>
      <c r="Q8" s="61">
        <f t="shared" si="2"/>
        <v>0.3996</v>
      </c>
      <c r="R8" s="22"/>
      <c r="S8" s="22"/>
      <c r="T8" s="62" t="s">
        <v>113</v>
      </c>
      <c r="U8" s="63">
        <v>3.0</v>
      </c>
      <c r="V8" s="64">
        <v>3.0</v>
      </c>
      <c r="W8" s="21"/>
      <c r="X8" s="22"/>
      <c r="Y8" s="28"/>
      <c r="Z8" s="62" t="s">
        <v>110</v>
      </c>
      <c r="AA8" s="55">
        <v>5300.0</v>
      </c>
      <c r="AB8" s="65">
        <v>14000.0</v>
      </c>
      <c r="AC8" s="55"/>
      <c r="AD8" s="62" t="s">
        <v>110</v>
      </c>
      <c r="AE8" s="55">
        <v>2500.0</v>
      </c>
      <c r="AF8" s="65">
        <v>6100.0</v>
      </c>
      <c r="AG8" s="21"/>
      <c r="AH8" s="62" t="s">
        <v>110</v>
      </c>
      <c r="AI8" s="55">
        <v>0.0</v>
      </c>
      <c r="AJ8" s="65">
        <v>0.0</v>
      </c>
      <c r="AK8" s="67"/>
      <c r="AL8" s="62" t="s">
        <v>110</v>
      </c>
      <c r="AM8" s="55">
        <v>0.0</v>
      </c>
      <c r="AN8" s="65">
        <v>0.0</v>
      </c>
      <c r="AO8" s="68"/>
      <c r="AP8" s="69"/>
    </row>
    <row r="9">
      <c r="A9" s="30" t="s">
        <v>126</v>
      </c>
      <c r="B9" s="70">
        <f>-$F$27</f>
        <v>2182.297038</v>
      </c>
      <c r="C9" s="35"/>
      <c r="D9" s="19"/>
      <c r="E9" s="72" t="s">
        <v>128</v>
      </c>
      <c r="F9" s="73" t="s">
        <v>84</v>
      </c>
      <c r="G9" s="74">
        <f>FLOOR(G8/12, 1)</f>
        <v>10</v>
      </c>
      <c r="H9" s="63"/>
      <c r="I9" s="21"/>
      <c r="J9" s="72" t="s">
        <v>129</v>
      </c>
      <c r="K9" s="75" t="s">
        <v>84</v>
      </c>
      <c r="L9" s="76">
        <f>'Simple Inputs'!$E$14/12</f>
        <v>14.16583333</v>
      </c>
      <c r="M9" s="21"/>
      <c r="N9" s="56"/>
      <c r="O9" s="77">
        <f>'Simple Inputs'!$E$30</f>
        <v>50</v>
      </c>
      <c r="P9" s="78">
        <f>'Simple Inputs'!$F$30</f>
        <v>17.99</v>
      </c>
      <c r="Q9" s="79">
        <f t="shared" si="2"/>
        <v>0.3598</v>
      </c>
      <c r="R9" s="22"/>
      <c r="S9" s="22"/>
      <c r="T9" s="62" t="s">
        <v>135</v>
      </c>
      <c r="U9" s="63" t="s">
        <v>84</v>
      </c>
      <c r="V9" s="64">
        <v>5.0</v>
      </c>
      <c r="W9" s="21"/>
      <c r="X9" s="22"/>
      <c r="Y9" s="28"/>
      <c r="Z9" s="62" t="s">
        <v>138</v>
      </c>
      <c r="AA9" s="63" t="s">
        <v>84</v>
      </c>
      <c r="AB9" s="65">
        <v>13000.0</v>
      </c>
      <c r="AC9" s="55"/>
      <c r="AD9" s="62" t="s">
        <v>138</v>
      </c>
      <c r="AE9" s="63" t="s">
        <v>84</v>
      </c>
      <c r="AF9" s="65">
        <v>22000.0</v>
      </c>
      <c r="AG9" s="21"/>
      <c r="AH9" s="62" t="s">
        <v>135</v>
      </c>
      <c r="AI9" s="81" t="s">
        <v>84</v>
      </c>
      <c r="AJ9" s="65">
        <v>0.0</v>
      </c>
      <c r="AK9" s="67"/>
      <c r="AL9" s="62" t="s">
        <v>138</v>
      </c>
      <c r="AM9" s="63" t="s">
        <v>84</v>
      </c>
      <c r="AN9" s="65">
        <v>0.0</v>
      </c>
      <c r="AO9" s="68"/>
      <c r="AP9" s="69"/>
    </row>
    <row r="10">
      <c r="A10" s="30" t="s">
        <v>145</v>
      </c>
      <c r="B10" s="70">
        <f>-$F$28</f>
        <v>1692.366025</v>
      </c>
      <c r="D10" s="19"/>
      <c r="E10" s="21"/>
      <c r="F10" s="21"/>
      <c r="G10" s="21"/>
      <c r="H10" s="21"/>
      <c r="I10" s="21"/>
      <c r="J10" s="21"/>
      <c r="K10" s="21"/>
      <c r="L10" s="43"/>
      <c r="M10" s="21"/>
      <c r="N10" s="56"/>
      <c r="O10" s="67"/>
      <c r="P10" s="22"/>
      <c r="Q10" s="22"/>
      <c r="R10" s="22"/>
      <c r="S10" s="22"/>
      <c r="T10" s="83" t="s">
        <v>151</v>
      </c>
      <c r="U10" s="84" t="s">
        <v>84</v>
      </c>
      <c r="V10" s="85" t="s">
        <v>84</v>
      </c>
      <c r="W10" s="21"/>
      <c r="X10" s="22"/>
      <c r="Y10" s="28"/>
      <c r="Z10" s="62" t="s">
        <v>152</v>
      </c>
      <c r="AA10" s="63" t="s">
        <v>84</v>
      </c>
      <c r="AB10" s="65" t="s">
        <v>84</v>
      </c>
      <c r="AC10" s="55"/>
      <c r="AD10" s="62" t="s">
        <v>152</v>
      </c>
      <c r="AE10" s="63" t="s">
        <v>84</v>
      </c>
      <c r="AF10" s="65" t="s">
        <v>84</v>
      </c>
      <c r="AG10" s="21"/>
      <c r="AH10" s="62" t="s">
        <v>153</v>
      </c>
      <c r="AI10" s="81" t="s">
        <v>84</v>
      </c>
      <c r="AJ10" s="87" t="s">
        <v>84</v>
      </c>
      <c r="AK10" s="67"/>
      <c r="AL10" s="62" t="s">
        <v>152</v>
      </c>
      <c r="AM10" s="63" t="s">
        <v>84</v>
      </c>
      <c r="AN10" s="65" t="s">
        <v>84</v>
      </c>
      <c r="AO10" s="68"/>
      <c r="AP10" s="69"/>
    </row>
    <row r="11">
      <c r="A11" s="30" t="s">
        <v>155</v>
      </c>
      <c r="B11" s="70">
        <f>-$F$29</f>
        <v>14941.1147</v>
      </c>
      <c r="C11" s="35"/>
      <c r="D11" s="19"/>
      <c r="E11" s="42" t="s">
        <v>156</v>
      </c>
      <c r="F11" s="63"/>
      <c r="G11" s="22"/>
      <c r="H11" s="22"/>
      <c r="I11" s="21"/>
      <c r="J11" s="42" t="s">
        <v>145</v>
      </c>
      <c r="K11" s="59"/>
      <c r="L11" s="63"/>
      <c r="M11" s="21"/>
      <c r="N11" s="19"/>
      <c r="O11" s="21"/>
      <c r="P11" s="21"/>
      <c r="Q11" s="21"/>
      <c r="R11" s="21"/>
      <c r="S11" s="21"/>
      <c r="T11" s="21"/>
      <c r="U11" s="21"/>
      <c r="V11" s="21"/>
      <c r="W11" s="21"/>
      <c r="X11" s="22"/>
      <c r="Y11" s="28"/>
      <c r="Z11" s="72" t="s">
        <v>158</v>
      </c>
      <c r="AA11" s="88">
        <f t="shared" ref="AA11:AB11" si="3">SUM(AA6:AA10)</f>
        <v>15000</v>
      </c>
      <c r="AB11" s="89">
        <f t="shared" si="3"/>
        <v>48400</v>
      </c>
      <c r="AC11" s="90"/>
      <c r="AD11" s="72" t="s">
        <v>159</v>
      </c>
      <c r="AE11" s="88">
        <f>SUM(AE6:AE10)</f>
        <v>12000</v>
      </c>
      <c r="AF11" s="89">
        <f>SUM(AF6:AF9)</f>
        <v>57800</v>
      </c>
      <c r="AG11" s="21"/>
      <c r="AH11" s="72" t="s">
        <v>160</v>
      </c>
      <c r="AI11" s="88">
        <f>SUM(AI6:AI8)</f>
        <v>0</v>
      </c>
      <c r="AJ11" s="89">
        <f>SUM(AJ6:AJ9)</f>
        <v>4700</v>
      </c>
      <c r="AK11" s="67"/>
      <c r="AL11" s="72" t="s">
        <v>162</v>
      </c>
      <c r="AM11" s="88">
        <f t="shared" ref="AM11:AN11" si="4">SUM(AM6:AM10)</f>
        <v>0</v>
      </c>
      <c r="AN11" s="89">
        <f t="shared" si="4"/>
        <v>0</v>
      </c>
      <c r="AO11" s="68"/>
      <c r="AP11" s="69"/>
    </row>
    <row r="12">
      <c r="A12" s="30" t="s">
        <v>163</v>
      </c>
      <c r="B12" s="70">
        <f>-$F$30</f>
        <v>125.952</v>
      </c>
      <c r="C12" s="35"/>
      <c r="D12" s="19"/>
      <c r="E12" s="50" t="s">
        <v>164</v>
      </c>
      <c r="F12" s="37" t="s">
        <v>166</v>
      </c>
      <c r="G12" s="37" t="s">
        <v>167</v>
      </c>
      <c r="H12" s="38" t="s">
        <v>168</v>
      </c>
      <c r="I12" s="21"/>
      <c r="J12" s="50" t="s">
        <v>169</v>
      </c>
      <c r="K12" s="38" t="s">
        <v>22</v>
      </c>
      <c r="L12" s="21"/>
      <c r="M12" s="21"/>
      <c r="N12" s="19"/>
      <c r="O12" s="21"/>
      <c r="P12" s="21"/>
      <c r="Q12" s="21"/>
      <c r="R12" s="21"/>
      <c r="S12" s="21"/>
      <c r="T12" s="21"/>
      <c r="U12" s="21"/>
      <c r="V12" s="21"/>
      <c r="W12" s="21"/>
      <c r="X12" s="22"/>
      <c r="Y12" s="28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9"/>
      <c r="AP12" s="23"/>
    </row>
    <row r="13">
      <c r="A13" s="30" t="s">
        <v>180</v>
      </c>
      <c r="B13" s="70">
        <f>-$F$31</f>
        <v>151.14</v>
      </c>
      <c r="C13" s="91"/>
      <c r="D13" s="92"/>
      <c r="E13" s="93" t="s">
        <v>35</v>
      </c>
      <c r="F13" s="63">
        <v>10.0</v>
      </c>
      <c r="G13" s="81">
        <f>(AA30*AM15)+(AA31*AM16)+(AA32*AM17)</f>
        <v>-0.075</v>
      </c>
      <c r="H13" s="64" t="s">
        <v>84</v>
      </c>
      <c r="I13" s="21"/>
      <c r="J13" s="62" t="s">
        <v>187</v>
      </c>
      <c r="K13" s="96">
        <f>'Simple Inputs'!$E$10</f>
        <v>0.029</v>
      </c>
      <c r="L13" s="21"/>
      <c r="M13" s="21"/>
      <c r="N13" s="19"/>
      <c r="O13" s="42" t="s">
        <v>189</v>
      </c>
      <c r="P13" s="90"/>
      <c r="Q13" s="67"/>
      <c r="R13" s="22"/>
      <c r="S13" s="22"/>
      <c r="T13" s="42" t="s">
        <v>190</v>
      </c>
      <c r="U13" s="43"/>
      <c r="V13" s="22"/>
      <c r="W13" s="22"/>
      <c r="X13" s="22"/>
      <c r="Y13" s="28"/>
      <c r="Z13" s="42" t="s">
        <v>191</v>
      </c>
      <c r="AA13" s="22"/>
      <c r="AB13" s="22"/>
      <c r="AC13" s="22"/>
      <c r="AD13" s="42" t="s">
        <v>193</v>
      </c>
      <c r="AE13" s="22"/>
      <c r="AF13" s="22"/>
      <c r="AG13" s="22"/>
      <c r="AH13" s="42" t="s">
        <v>197</v>
      </c>
      <c r="AI13" s="22"/>
      <c r="AJ13" s="22"/>
      <c r="AK13" s="21"/>
      <c r="AL13" s="42" t="s">
        <v>199</v>
      </c>
      <c r="AM13" s="22"/>
      <c r="AN13" s="22"/>
      <c r="AO13" s="29"/>
      <c r="AP13" s="23"/>
    </row>
    <row r="14">
      <c r="A14" s="99" t="s">
        <v>200</v>
      </c>
      <c r="B14" s="100">
        <f>$F$32</f>
        <v>19092.86977</v>
      </c>
      <c r="C14" s="91"/>
      <c r="D14" s="92"/>
      <c r="E14" s="101" t="s">
        <v>37</v>
      </c>
      <c r="F14" s="84">
        <v>150.0</v>
      </c>
      <c r="G14" s="102">
        <f>(AB$30*AN15)+(AB$31*AN16)+(AB$32*AN17)+(AB$33*AN18)</f>
        <v>-3.8063</v>
      </c>
      <c r="H14" s="103">
        <f>(L8+G14)/L8</f>
        <v>0.7759682166</v>
      </c>
      <c r="I14" s="21"/>
      <c r="J14" s="101" t="s">
        <v>211</v>
      </c>
      <c r="K14" s="104">
        <f>'Simple Inputs'!$E$11</f>
        <v>0.3</v>
      </c>
      <c r="L14" s="21"/>
      <c r="M14" s="21"/>
      <c r="N14" s="19"/>
      <c r="O14" s="50" t="s">
        <v>104</v>
      </c>
      <c r="P14" s="37" t="s">
        <v>35</v>
      </c>
      <c r="Q14" s="37" t="s">
        <v>37</v>
      </c>
      <c r="R14" s="38" t="s">
        <v>215</v>
      </c>
      <c r="S14" s="22"/>
      <c r="T14" s="105" t="s">
        <v>104</v>
      </c>
      <c r="U14" s="37" t="s">
        <v>35</v>
      </c>
      <c r="V14" s="37" t="s">
        <v>37</v>
      </c>
      <c r="W14" s="38" t="s">
        <v>215</v>
      </c>
      <c r="X14" s="22"/>
      <c r="Y14" s="28"/>
      <c r="Z14" s="50" t="s">
        <v>73</v>
      </c>
      <c r="AA14" s="37" t="s">
        <v>35</v>
      </c>
      <c r="AB14" s="38" t="s">
        <v>37</v>
      </c>
      <c r="AC14" s="43"/>
      <c r="AD14" s="50" t="s">
        <v>73</v>
      </c>
      <c r="AE14" s="37" t="s">
        <v>35</v>
      </c>
      <c r="AF14" s="38" t="s">
        <v>37</v>
      </c>
      <c r="AG14" s="21"/>
      <c r="AH14" s="50" t="s">
        <v>73</v>
      </c>
      <c r="AI14" s="37" t="s">
        <v>35</v>
      </c>
      <c r="AJ14" s="38" t="s">
        <v>37</v>
      </c>
      <c r="AK14" s="21"/>
      <c r="AL14" s="50" t="s">
        <v>73</v>
      </c>
      <c r="AM14" s="37" t="s">
        <v>35</v>
      </c>
      <c r="AN14" s="38" t="s">
        <v>37</v>
      </c>
      <c r="AO14" s="29"/>
      <c r="AP14" s="23"/>
    </row>
    <row r="15">
      <c r="A15" s="106" t="s">
        <v>221</v>
      </c>
      <c r="B15" s="107">
        <f>$F$36</f>
        <v>7165.855835</v>
      </c>
      <c r="D15" s="19"/>
      <c r="E15" s="21"/>
      <c r="F15" s="21"/>
      <c r="G15" s="21"/>
      <c r="H15" s="21"/>
      <c r="I15" s="21"/>
      <c r="J15" s="21"/>
      <c r="K15" s="21"/>
      <c r="L15" s="21"/>
      <c r="M15" s="21"/>
      <c r="N15" s="19"/>
      <c r="O15" s="62" t="s">
        <v>121</v>
      </c>
      <c r="P15" s="108">
        <v>0.01</v>
      </c>
      <c r="Q15" s="108">
        <v>0.0038</v>
      </c>
      <c r="R15" s="96">
        <f t="shared" ref="R15:R18" si="9">SUM(P15:Q15)</f>
        <v>0.0138</v>
      </c>
      <c r="S15" s="22"/>
      <c r="T15" s="62" t="s">
        <v>121</v>
      </c>
      <c r="U15" s="59">
        <f>(P24*P6)</f>
        <v>2364.12</v>
      </c>
      <c r="V15" s="59">
        <f t="shared" ref="V15:V18" si="10">Q24*$P6</f>
        <v>9.0744</v>
      </c>
      <c r="W15" s="87">
        <f t="shared" ref="W15:W18" si="11">SUM(U15:V15)</f>
        <v>2373.1944</v>
      </c>
      <c r="X15" s="22"/>
      <c r="Y15" s="28"/>
      <c r="Z15" s="62" t="s">
        <v>92</v>
      </c>
      <c r="AA15" s="109">
        <f t="shared" ref="AA15:AB15" si="5">AA6*$AF$29*-1</f>
        <v>-0.0051</v>
      </c>
      <c r="AB15" s="87">
        <f t="shared" si="5"/>
        <v>-0.02</v>
      </c>
      <c r="AC15" s="110"/>
      <c r="AD15" s="62" t="s">
        <v>92</v>
      </c>
      <c r="AE15" s="109">
        <f t="shared" ref="AE15:AF15" si="6">AE6*$AF$32*-1</f>
        <v>-0.0215</v>
      </c>
      <c r="AF15" s="61">
        <f t="shared" si="6"/>
        <v>-0.125</v>
      </c>
      <c r="AG15" s="21"/>
      <c r="AH15" s="62" t="s">
        <v>92</v>
      </c>
      <c r="AI15" s="59">
        <f t="shared" ref="AI15:AJ15" si="7">-(AI6*$AF$30+AM6*$AF$31)</f>
        <v>0</v>
      </c>
      <c r="AJ15" s="87">
        <f t="shared" si="7"/>
        <v>0</v>
      </c>
      <c r="AK15" s="59"/>
      <c r="AL15" s="62" t="s">
        <v>92</v>
      </c>
      <c r="AM15" s="109">
        <f t="shared" ref="AM15:AN15" si="8">AI15+AE15+AA15</f>
        <v>-0.0266</v>
      </c>
      <c r="AN15" s="111">
        <f t="shared" si="8"/>
        <v>-0.145</v>
      </c>
      <c r="AO15" s="112"/>
      <c r="AP15" s="113"/>
    </row>
    <row r="16">
      <c r="A16" s="30" t="s">
        <v>237</v>
      </c>
      <c r="B16" s="114">
        <f>$F$37</f>
        <v>0.2728942731</v>
      </c>
      <c r="C16" s="35"/>
      <c r="D16" s="19"/>
      <c r="E16" s="42" t="s">
        <v>241</v>
      </c>
      <c r="F16" s="21"/>
      <c r="G16" s="21"/>
      <c r="H16" s="21"/>
      <c r="I16" s="21"/>
      <c r="J16" s="21"/>
      <c r="K16" s="21"/>
      <c r="L16" s="21"/>
      <c r="M16" s="21"/>
      <c r="N16" s="19"/>
      <c r="O16" s="62" t="s">
        <v>124</v>
      </c>
      <c r="P16" s="108">
        <v>0.003</v>
      </c>
      <c r="Q16" s="108">
        <v>0.0012</v>
      </c>
      <c r="R16" s="96">
        <f t="shared" si="9"/>
        <v>0.0042</v>
      </c>
      <c r="S16" s="22"/>
      <c r="T16" s="62" t="s">
        <v>124</v>
      </c>
      <c r="U16" s="59">
        <f t="shared" ref="U16:U18" si="16">P25*P7</f>
        <v>1778.436</v>
      </c>
      <c r="V16" s="59">
        <f t="shared" si="10"/>
        <v>7.1856</v>
      </c>
      <c r="W16" s="87">
        <f t="shared" si="11"/>
        <v>1785.6216</v>
      </c>
      <c r="X16" s="22"/>
      <c r="Y16" s="28"/>
      <c r="Z16" s="62" t="s">
        <v>113</v>
      </c>
      <c r="AA16" s="109">
        <f t="shared" ref="AA16:AB16" si="12">AA7*$AF$29*-1</f>
        <v>-0.0046</v>
      </c>
      <c r="AB16" s="61">
        <f t="shared" si="12"/>
        <v>-0.0014</v>
      </c>
      <c r="AC16" s="110"/>
      <c r="AD16" s="62" t="s">
        <v>113</v>
      </c>
      <c r="AE16" s="109">
        <f t="shared" ref="AE16:AF16" si="13">AE7*$AF$32*-1</f>
        <v>-0.026</v>
      </c>
      <c r="AF16" s="61">
        <f t="shared" si="13"/>
        <v>-0.0235</v>
      </c>
      <c r="AG16" s="21"/>
      <c r="AH16" s="62" t="s">
        <v>113</v>
      </c>
      <c r="AI16" s="59">
        <f t="shared" ref="AI16:AJ16" si="14">-(AI7*$AF$30+AM7*$AF$31)</f>
        <v>0</v>
      </c>
      <c r="AJ16" s="115">
        <f t="shared" si="14"/>
        <v>-0.005875</v>
      </c>
      <c r="AK16" s="59"/>
      <c r="AL16" s="62" t="s">
        <v>113</v>
      </c>
      <c r="AM16" s="109">
        <f t="shared" ref="AM16:AN16" si="15">AI16+AE16+AA16</f>
        <v>-0.0306</v>
      </c>
      <c r="AN16" s="115">
        <f t="shared" si="15"/>
        <v>-0.030775</v>
      </c>
      <c r="AO16" s="116"/>
      <c r="AP16" s="117"/>
    </row>
    <row r="17">
      <c r="A17" s="118" t="s">
        <v>252</v>
      </c>
      <c r="B17" s="119">
        <f>$F$40</f>
        <v>2364.732425</v>
      </c>
      <c r="C17" s="35"/>
      <c r="D17" s="19"/>
      <c r="E17" s="50" t="s">
        <v>255</v>
      </c>
      <c r="F17" s="37" t="s">
        <v>256</v>
      </c>
      <c r="G17" s="37" t="s">
        <v>257</v>
      </c>
      <c r="H17" s="37" t="s">
        <v>258</v>
      </c>
      <c r="I17" s="37" t="s">
        <v>145</v>
      </c>
      <c r="J17" s="37" t="s">
        <v>259</v>
      </c>
      <c r="K17" s="38" t="s">
        <v>260</v>
      </c>
      <c r="L17" s="21"/>
      <c r="M17" s="21"/>
      <c r="N17" s="19"/>
      <c r="O17" s="62" t="s">
        <v>125</v>
      </c>
      <c r="P17" s="108">
        <v>0.001</v>
      </c>
      <c r="Q17" s="108">
        <v>4.0E-4</v>
      </c>
      <c r="R17" s="96">
        <f t="shared" si="9"/>
        <v>0.0014</v>
      </c>
      <c r="S17" s="22"/>
      <c r="T17" s="62" t="s">
        <v>125</v>
      </c>
      <c r="U17" s="59">
        <f t="shared" si="16"/>
        <v>1186.812</v>
      </c>
      <c r="V17" s="59">
        <f t="shared" si="10"/>
        <v>4.7952</v>
      </c>
      <c r="W17" s="87">
        <f t="shared" si="11"/>
        <v>1191.6072</v>
      </c>
      <c r="X17" s="22"/>
      <c r="Y17" s="28"/>
      <c r="Z17" s="62" t="s">
        <v>261</v>
      </c>
      <c r="AA17" s="109">
        <f t="shared" ref="AA17:AB17" si="17">AA8*$AF$29*-1</f>
        <v>-0.0053</v>
      </c>
      <c r="AB17" s="111">
        <f t="shared" si="17"/>
        <v>-0.014</v>
      </c>
      <c r="AC17" s="110"/>
      <c r="AD17" s="62" t="s">
        <v>110</v>
      </c>
      <c r="AE17" s="109">
        <f t="shared" ref="AE17:AF17" si="18">AE8*$AF$32*-1</f>
        <v>-0.0125</v>
      </c>
      <c r="AF17" s="61">
        <f t="shared" si="18"/>
        <v>-0.0305</v>
      </c>
      <c r="AG17" s="21"/>
      <c r="AH17" s="62" t="s">
        <v>110</v>
      </c>
      <c r="AI17" s="59">
        <f t="shared" ref="AI17:AJ17" si="19">-(AI8*$AF$30+AM8*$AF$31)</f>
        <v>0</v>
      </c>
      <c r="AJ17" s="87">
        <f t="shared" si="19"/>
        <v>0</v>
      </c>
      <c r="AK17" s="59"/>
      <c r="AL17" s="62" t="s">
        <v>110</v>
      </c>
      <c r="AM17" s="109">
        <f t="shared" ref="AM17:AN17" si="20">AI17+AE17+AA17</f>
        <v>-0.0178</v>
      </c>
      <c r="AN17" s="61">
        <f t="shared" si="20"/>
        <v>-0.0445</v>
      </c>
      <c r="AO17" s="120"/>
      <c r="AP17" s="121"/>
    </row>
    <row r="18">
      <c r="A18" s="21"/>
      <c r="B18" s="21"/>
      <c r="C18" s="35"/>
      <c r="D18" s="19"/>
      <c r="E18" s="62" t="s">
        <v>269</v>
      </c>
      <c r="F18" s="63">
        <v>0.0</v>
      </c>
      <c r="G18" s="59">
        <v>0.0</v>
      </c>
      <c r="H18" s="59">
        <v>0.0</v>
      </c>
      <c r="I18" s="59">
        <v>0.0</v>
      </c>
      <c r="J18" s="59">
        <f>F7*G13</f>
        <v>-8910</v>
      </c>
      <c r="K18" s="87">
        <f t="shared" ref="K18:K21" si="21">SUM(H18, I18, J18)</f>
        <v>-8910</v>
      </c>
      <c r="L18" s="21"/>
      <c r="M18" s="21"/>
      <c r="N18" s="19"/>
      <c r="O18" s="62" t="s">
        <v>127</v>
      </c>
      <c r="P18" s="108">
        <v>4.0E-4</v>
      </c>
      <c r="Q18" s="108">
        <v>2.0E-4</v>
      </c>
      <c r="R18" s="96">
        <f t="shared" si="9"/>
        <v>0.0006</v>
      </c>
      <c r="S18" s="22"/>
      <c r="T18" s="62" t="s">
        <v>127</v>
      </c>
      <c r="U18" s="59">
        <f t="shared" si="16"/>
        <v>854.8848</v>
      </c>
      <c r="V18" s="59">
        <f t="shared" si="10"/>
        <v>4.3176</v>
      </c>
      <c r="W18" s="87">
        <f t="shared" si="11"/>
        <v>859.2024</v>
      </c>
      <c r="X18" s="22"/>
      <c r="Y18" s="28"/>
      <c r="Z18" s="62" t="s">
        <v>135</v>
      </c>
      <c r="AA18" s="81" t="s">
        <v>84</v>
      </c>
      <c r="AB18" s="111">
        <f>AB9*$AF$29*-1</f>
        <v>-0.013</v>
      </c>
      <c r="AC18" s="110"/>
      <c r="AD18" s="62" t="s">
        <v>135</v>
      </c>
      <c r="AE18" s="81" t="s">
        <v>84</v>
      </c>
      <c r="AF18" s="87">
        <f>AF9*$AF$32*-1</f>
        <v>-0.11</v>
      </c>
      <c r="AG18" s="21"/>
      <c r="AH18" s="62" t="s">
        <v>135</v>
      </c>
      <c r="AI18" s="81" t="s">
        <v>84</v>
      </c>
      <c r="AJ18" s="87">
        <f>-(AJ9*$AF$30+AN9*$AF$31)</f>
        <v>0</v>
      </c>
      <c r="AK18" s="59"/>
      <c r="AL18" s="62" t="s">
        <v>135</v>
      </c>
      <c r="AM18" s="81" t="s">
        <v>84</v>
      </c>
      <c r="AN18" s="111">
        <f>AJ18+AF18+AB18</f>
        <v>-0.123</v>
      </c>
      <c r="AO18" s="112"/>
      <c r="AP18" s="113"/>
    </row>
    <row r="19">
      <c r="A19" s="21"/>
      <c r="B19" s="21"/>
      <c r="C19" s="35"/>
      <c r="D19" s="19"/>
      <c r="E19" s="62" t="s">
        <v>283</v>
      </c>
      <c r="F19" s="55">
        <f>G7</f>
        <v>1080</v>
      </c>
      <c r="G19" s="59">
        <f>L8</f>
        <v>16.99</v>
      </c>
      <c r="H19" s="59">
        <f t="shared" ref="H19:H21" si="24">G19*F19</f>
        <v>18349.2</v>
      </c>
      <c r="I19" s="59">
        <f>SUM(H19*K13*-1, $K$14*F19*-1)</f>
        <v>-856.1268</v>
      </c>
      <c r="J19" s="59">
        <f>G14*G7</f>
        <v>-4110.804</v>
      </c>
      <c r="K19" s="87">
        <f t="shared" si="21"/>
        <v>13382.2692</v>
      </c>
      <c r="L19" s="21"/>
      <c r="M19" s="21"/>
      <c r="N19" s="19"/>
      <c r="O19" s="72" t="s">
        <v>215</v>
      </c>
      <c r="P19" s="122">
        <f t="shared" ref="P19:R19" si="22">SUM(P15:P18)</f>
        <v>0.0144</v>
      </c>
      <c r="Q19" s="122">
        <f t="shared" si="22"/>
        <v>0.0056</v>
      </c>
      <c r="R19" s="123">
        <f t="shared" si="22"/>
        <v>0.02</v>
      </c>
      <c r="S19" s="22"/>
      <c r="T19" s="72" t="s">
        <v>215</v>
      </c>
      <c r="U19" s="78">
        <f t="shared" ref="U19:W19" si="23">SUM(U15:U18)</f>
        <v>6184.2528</v>
      </c>
      <c r="V19" s="78">
        <f t="shared" si="23"/>
        <v>25.3728</v>
      </c>
      <c r="W19" s="104">
        <f t="shared" si="23"/>
        <v>6209.6256</v>
      </c>
      <c r="X19" s="22"/>
      <c r="Y19" s="28"/>
      <c r="Z19" s="62" t="s">
        <v>151</v>
      </c>
      <c r="AA19" s="81" t="s">
        <v>84</v>
      </c>
      <c r="AB19" s="61" t="s">
        <v>84</v>
      </c>
      <c r="AC19" s="110"/>
      <c r="AD19" s="62" t="s">
        <v>153</v>
      </c>
      <c r="AE19" s="81" t="s">
        <v>84</v>
      </c>
      <c r="AF19" s="87" t="s">
        <v>84</v>
      </c>
      <c r="AG19" s="21"/>
      <c r="AH19" s="62" t="s">
        <v>153</v>
      </c>
      <c r="AI19" s="81" t="s">
        <v>84</v>
      </c>
      <c r="AJ19" s="87" t="s">
        <v>84</v>
      </c>
      <c r="AK19" s="59"/>
      <c r="AL19" s="62" t="s">
        <v>153</v>
      </c>
      <c r="AM19" s="81" t="s">
        <v>84</v>
      </c>
      <c r="AN19" s="87" t="s">
        <v>84</v>
      </c>
      <c r="AO19" s="124"/>
      <c r="AP19" s="125"/>
    </row>
    <row r="20">
      <c r="A20" s="21"/>
      <c r="B20" s="21"/>
      <c r="C20" s="91"/>
      <c r="D20" s="92"/>
      <c r="E20" s="93" t="s">
        <v>294</v>
      </c>
      <c r="F20" s="55">
        <f>G9</f>
        <v>10</v>
      </c>
      <c r="G20" s="59">
        <f>'Simple Inputs'!$E$14</f>
        <v>169.99</v>
      </c>
      <c r="H20" s="59">
        <f t="shared" si="24"/>
        <v>1699.9</v>
      </c>
      <c r="I20" s="59">
        <f>SUM(H20*K13*-1, $K$14*F20*-1)</f>
        <v>-52.2971</v>
      </c>
      <c r="J20" s="59">
        <f>G14*G8</f>
        <v>-456.756</v>
      </c>
      <c r="K20" s="87">
        <f t="shared" si="21"/>
        <v>1190.8469</v>
      </c>
      <c r="L20" s="21"/>
      <c r="M20" s="21"/>
      <c r="N20" s="127"/>
      <c r="O20" s="128"/>
      <c r="P20" s="22"/>
      <c r="Q20" s="22"/>
      <c r="R20" s="22"/>
      <c r="S20" s="22"/>
      <c r="T20" s="21"/>
      <c r="U20" s="21"/>
      <c r="V20" s="21"/>
      <c r="W20" s="21"/>
      <c r="X20" s="22"/>
      <c r="Y20" s="28"/>
      <c r="Z20" s="72" t="s">
        <v>298</v>
      </c>
      <c r="AA20" s="129">
        <f>SUM(AA15:AA17)</f>
        <v>-0.015</v>
      </c>
      <c r="AB20" s="130">
        <f>SUM(AB15:AB19)</f>
        <v>-0.0484</v>
      </c>
      <c r="AC20" s="59"/>
      <c r="AD20" s="72" t="s">
        <v>300</v>
      </c>
      <c r="AE20" s="129">
        <f>SUM(AE15:AE17)</f>
        <v>-0.06</v>
      </c>
      <c r="AF20" s="131">
        <f>SUM(AF15:AF18)</f>
        <v>-0.289</v>
      </c>
      <c r="AG20" s="21"/>
      <c r="AH20" s="72" t="s">
        <v>303</v>
      </c>
      <c r="AI20" s="132">
        <f>SUM(AI15:AI17)</f>
        <v>0</v>
      </c>
      <c r="AJ20" s="133">
        <f>SUM(AJ15:AJ18)</f>
        <v>-0.005875</v>
      </c>
      <c r="AK20" s="59"/>
      <c r="AL20" s="72" t="s">
        <v>309</v>
      </c>
      <c r="AM20" s="134">
        <f>SUM(AM15:AM17)</f>
        <v>-0.075</v>
      </c>
      <c r="AN20" s="135">
        <f>SUM(AN15:AN18)</f>
        <v>-0.343275</v>
      </c>
      <c r="AO20" s="116"/>
      <c r="AP20" s="117"/>
    </row>
    <row r="21">
      <c r="A21" s="21"/>
      <c r="B21" s="21"/>
      <c r="C21" s="91"/>
      <c r="D21" s="92"/>
      <c r="E21" s="93" t="s">
        <v>317</v>
      </c>
      <c r="F21" s="136">
        <f>R28</f>
        <v>1717.44</v>
      </c>
      <c r="G21" s="59">
        <f>W19/R28</f>
        <v>3.615628843</v>
      </c>
      <c r="H21" s="59">
        <f t="shared" si="24"/>
        <v>6209.6256</v>
      </c>
      <c r="I21" s="59">
        <f>SUM(H21*K13*-1, $K$14*F21*-1)</f>
        <v>-695.3111424</v>
      </c>
      <c r="J21" s="59">
        <f>SUMPRODUCT($P$24:$P$27,$O$6:$O$9)*$AA$37+SUMPRODUCT($Q$24:$Q$27,$O$6:$O$9)*$AB$37</f>
        <v>-105.2715474</v>
      </c>
      <c r="K21" s="87">
        <f t="shared" si="21"/>
        <v>5409.04291</v>
      </c>
      <c r="L21" s="21"/>
      <c r="M21" s="21"/>
      <c r="N21" s="19"/>
      <c r="O21" s="21"/>
      <c r="P21" s="21"/>
      <c r="Q21" s="21"/>
      <c r="R21" s="21"/>
      <c r="S21" s="21"/>
      <c r="T21" s="22"/>
      <c r="U21" s="22"/>
      <c r="V21" s="22"/>
      <c r="W21" s="22"/>
      <c r="X21" s="22"/>
      <c r="Y21" s="28"/>
      <c r="Z21" s="21"/>
      <c r="AA21" s="21"/>
      <c r="AB21" s="21"/>
      <c r="AC21" s="21"/>
      <c r="AD21" s="21"/>
      <c r="AE21" s="21"/>
      <c r="AF21" s="21"/>
      <c r="AG21" s="22"/>
      <c r="AH21" s="22"/>
      <c r="AI21" s="22"/>
      <c r="AJ21" s="22"/>
      <c r="AK21" s="22"/>
      <c r="AL21" s="21"/>
      <c r="AM21" s="21"/>
      <c r="AN21" s="21"/>
      <c r="AO21" s="29"/>
      <c r="AP21" s="23"/>
    </row>
    <row r="22">
      <c r="A22" s="21"/>
      <c r="B22" s="21"/>
      <c r="C22" s="91"/>
      <c r="D22" s="92"/>
      <c r="E22" s="137" t="s">
        <v>336</v>
      </c>
      <c r="F22" s="138">
        <f>SUM(F19:F21)</f>
        <v>2807.44</v>
      </c>
      <c r="G22" s="139"/>
      <c r="H22" s="140">
        <f>SUM(H19:H21)</f>
        <v>26258.7256</v>
      </c>
      <c r="I22" s="141">
        <f t="shared" ref="I22:K22" si="25">SUM(I18:I21)</f>
        <v>-1603.735042</v>
      </c>
      <c r="J22" s="141">
        <f t="shared" si="25"/>
        <v>-13582.83155</v>
      </c>
      <c r="K22" s="142">
        <f t="shared" si="25"/>
        <v>11072.15901</v>
      </c>
      <c r="L22" s="21"/>
      <c r="M22" s="21"/>
      <c r="N22" s="19"/>
      <c r="O22" s="42" t="s">
        <v>346</v>
      </c>
      <c r="P22" s="43"/>
      <c r="Q22" s="22"/>
      <c r="R22" s="22"/>
      <c r="S22" s="22"/>
      <c r="T22" s="42" t="s">
        <v>347</v>
      </c>
      <c r="U22" s="43"/>
      <c r="V22" s="22"/>
      <c r="W22" s="22"/>
      <c r="X22" s="22"/>
      <c r="Y22" s="28"/>
      <c r="Z22" s="143" t="s">
        <v>350</v>
      </c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29"/>
      <c r="AP22" s="23"/>
    </row>
    <row r="23">
      <c r="A23" s="21"/>
      <c r="B23" s="21"/>
      <c r="D23" s="19"/>
      <c r="E23" s="21"/>
      <c r="F23" s="21"/>
      <c r="G23" s="21"/>
      <c r="H23" s="21"/>
      <c r="I23" s="21"/>
      <c r="J23" s="21"/>
      <c r="K23" s="21"/>
      <c r="L23" s="21"/>
      <c r="M23" s="145"/>
      <c r="N23" s="146"/>
      <c r="O23" s="147" t="s">
        <v>104</v>
      </c>
      <c r="P23" s="37" t="s">
        <v>35</v>
      </c>
      <c r="Q23" s="37" t="s">
        <v>37</v>
      </c>
      <c r="R23" s="38" t="s">
        <v>215</v>
      </c>
      <c r="S23" s="22"/>
      <c r="T23" s="50" t="s">
        <v>104</v>
      </c>
      <c r="U23" s="37" t="s">
        <v>35</v>
      </c>
      <c r="V23" s="37" t="s">
        <v>37</v>
      </c>
      <c r="W23" s="38" t="s">
        <v>215</v>
      </c>
      <c r="X23" s="22"/>
      <c r="Y23" s="28"/>
      <c r="Z23" s="148" t="s">
        <v>104</v>
      </c>
      <c r="AA23" s="149" t="s">
        <v>364</v>
      </c>
      <c r="AB23" s="149" t="s">
        <v>367</v>
      </c>
      <c r="AC23" s="149" t="s">
        <v>368</v>
      </c>
      <c r="AD23" s="149" t="s">
        <v>369</v>
      </c>
      <c r="AE23" s="149" t="s">
        <v>370</v>
      </c>
      <c r="AF23" s="149" t="s">
        <v>371</v>
      </c>
      <c r="AG23" s="149" t="s">
        <v>372</v>
      </c>
      <c r="AH23" s="149" t="s">
        <v>373</v>
      </c>
      <c r="AI23" s="149" t="s">
        <v>374</v>
      </c>
      <c r="AJ23" s="149" t="s">
        <v>375</v>
      </c>
      <c r="AK23" s="149" t="s">
        <v>376</v>
      </c>
      <c r="AL23" s="149" t="s">
        <v>377</v>
      </c>
      <c r="AM23" s="149" t="s">
        <v>378</v>
      </c>
      <c r="AN23" s="150" t="s">
        <v>379</v>
      </c>
      <c r="AO23" s="29"/>
      <c r="AP23" s="23"/>
    </row>
    <row r="24">
      <c r="A24" s="21"/>
      <c r="B24" s="21"/>
      <c r="C24" s="35"/>
      <c r="D24" s="19"/>
      <c r="E24" s="151" t="s">
        <v>380</v>
      </c>
      <c r="F24" s="144"/>
      <c r="G24" s="144"/>
      <c r="H24" s="144"/>
      <c r="I24" s="144"/>
      <c r="J24" s="21"/>
      <c r="K24" s="21"/>
      <c r="L24" s="21"/>
      <c r="M24" s="21"/>
      <c r="N24" s="127"/>
      <c r="O24" s="152" t="s">
        <v>121</v>
      </c>
      <c r="P24" s="136">
        <f>P15*$F$7</f>
        <v>1188</v>
      </c>
      <c r="Q24" s="136">
        <f>Q15*(G7+G8)</f>
        <v>4.56</v>
      </c>
      <c r="R24" s="153">
        <f t="shared" ref="R24:R27" si="26">SUM(P24:Q24)</f>
        <v>1192.56</v>
      </c>
      <c r="S24" s="22"/>
      <c r="T24" s="62" t="s">
        <v>121</v>
      </c>
      <c r="U24" s="59">
        <f t="shared" ref="U24:U27" si="27">IF(P24 = 0, 0, (P24*($P6*(1-$P$33)-$P$34-($O6*((-1*$G$13)/$AA$36)))))</f>
        <v>1909.46052</v>
      </c>
      <c r="V24" s="59">
        <f t="shared" ref="V24:V27" si="28">IF(Q24 = 0, 0, (Q24*($P6*(1-$P$33)-$P$34-($O6*((-1*$G$14)/$AB$36)))))</f>
        <v>7.09610784</v>
      </c>
      <c r="W24" s="87">
        <f t="shared" ref="W24:W27" si="29">SUM(U24:V24)</f>
        <v>1916.556628</v>
      </c>
      <c r="X24" s="22"/>
      <c r="Y24" s="28"/>
      <c r="Z24" s="154" t="s">
        <v>35</v>
      </c>
      <c r="AA24" s="155">
        <f>$F$7</f>
        <v>118800</v>
      </c>
      <c r="AB24" s="156">
        <f>'Simple Inputs'!$E$21</f>
        <v>1</v>
      </c>
      <c r="AC24" s="157">
        <f t="shared" ref="AC24:AC25" si="30">AA24*AB24</f>
        <v>118800</v>
      </c>
      <c r="AD24" s="158">
        <f>'Simple Inputs'!$E$17</f>
        <v>0.1</v>
      </c>
      <c r="AE24" s="156">
        <f>'Simple Inputs'!$E$18</f>
        <v>2</v>
      </c>
      <c r="AF24" s="157">
        <f t="shared" ref="AF24:AF25" si="31">AC24*AD24*AE24</f>
        <v>23760</v>
      </c>
      <c r="AG24" s="155">
        <f>$F$7</f>
        <v>118800</v>
      </c>
      <c r="AH24" s="156">
        <f>'Simple Inputs'!$E$23</f>
        <v>0.1</v>
      </c>
      <c r="AI24" s="157">
        <f t="shared" ref="AI24:AI25" si="32">AG24*AH24</f>
        <v>11880</v>
      </c>
      <c r="AJ24" s="158">
        <f>'Simple Inputs'!$E$19</f>
        <v>0.1</v>
      </c>
      <c r="AK24" s="156">
        <f>'Simple Inputs'!$E$20</f>
        <v>6</v>
      </c>
      <c r="AL24" s="157">
        <f t="shared" ref="AL24:AL25" si="33">AI24*AJ24*AK24</f>
        <v>7128</v>
      </c>
      <c r="AM24" s="159">
        <f>'Simple Inputs'!$E$38</f>
        <v>0.004</v>
      </c>
      <c r="AN24" s="160">
        <f t="shared" ref="AN24:AN25" si="34">(AF24+AL24)*AM24</f>
        <v>123.552</v>
      </c>
      <c r="AO24" s="29"/>
      <c r="AP24" s="23"/>
    </row>
    <row r="25">
      <c r="A25" s="21"/>
      <c r="B25" s="21"/>
      <c r="C25" s="35"/>
      <c r="D25" s="19"/>
      <c r="E25" s="161" t="s">
        <v>426</v>
      </c>
      <c r="F25" s="162" t="s">
        <v>427</v>
      </c>
      <c r="G25" s="162" t="s">
        <v>430</v>
      </c>
      <c r="H25" s="162" t="s">
        <v>431</v>
      </c>
      <c r="I25" s="163" t="s">
        <v>432</v>
      </c>
      <c r="J25" s="21"/>
      <c r="K25" s="21"/>
      <c r="L25" s="21"/>
      <c r="M25" s="21"/>
      <c r="N25" s="56"/>
      <c r="O25" s="57" t="s">
        <v>124</v>
      </c>
      <c r="P25" s="136">
        <f>P16*F7</f>
        <v>356.4</v>
      </c>
      <c r="Q25" s="136">
        <f>Q16*(G7+G8)</f>
        <v>1.44</v>
      </c>
      <c r="R25" s="153">
        <f t="shared" si="26"/>
        <v>357.84</v>
      </c>
      <c r="S25" s="22"/>
      <c r="T25" s="62" t="s">
        <v>124</v>
      </c>
      <c r="U25" s="59">
        <f t="shared" si="27"/>
        <v>1590.241356</v>
      </c>
      <c r="V25" s="59">
        <f t="shared" si="28"/>
        <v>6.1798128</v>
      </c>
      <c r="W25" s="87">
        <f t="shared" si="29"/>
        <v>1596.421169</v>
      </c>
      <c r="X25" s="22"/>
      <c r="Y25" s="28"/>
      <c r="Z25" s="154" t="s">
        <v>37</v>
      </c>
      <c r="AA25" s="155">
        <f>SUM($G$7:$G$8)</f>
        <v>1200</v>
      </c>
      <c r="AB25" s="156">
        <f>'Simple Inputs'!$E$22</f>
        <v>1</v>
      </c>
      <c r="AC25" s="157">
        <f t="shared" si="30"/>
        <v>1200</v>
      </c>
      <c r="AD25" s="158">
        <f>'Simple Inputs'!$E$17</f>
        <v>0.1</v>
      </c>
      <c r="AE25" s="156">
        <f>'Simple Inputs'!$E$18</f>
        <v>2</v>
      </c>
      <c r="AF25" s="157">
        <f t="shared" si="31"/>
        <v>240</v>
      </c>
      <c r="AG25" s="155">
        <f>SUM($G$7:$G$8)</f>
        <v>1200</v>
      </c>
      <c r="AH25" s="156">
        <f>'Simple Inputs'!$E$24</f>
        <v>0.5</v>
      </c>
      <c r="AI25" s="157">
        <f t="shared" si="32"/>
        <v>600</v>
      </c>
      <c r="AJ25" s="158">
        <f>'Simple Inputs'!$E$19</f>
        <v>0.1</v>
      </c>
      <c r="AK25" s="156">
        <f>'Simple Inputs'!$E$20</f>
        <v>6</v>
      </c>
      <c r="AL25" s="157">
        <f t="shared" si="33"/>
        <v>360</v>
      </c>
      <c r="AM25" s="159">
        <f>'Simple Inputs'!$E$39</f>
        <v>0.004</v>
      </c>
      <c r="AN25" s="160">
        <f t="shared" si="34"/>
        <v>2.4</v>
      </c>
      <c r="AO25" s="112"/>
      <c r="AP25" s="113"/>
    </row>
    <row r="26">
      <c r="A26" s="21"/>
      <c r="B26" s="21"/>
      <c r="C26" s="35"/>
      <c r="D26" s="19"/>
      <c r="E26" s="164" t="s">
        <v>258</v>
      </c>
      <c r="F26" s="165">
        <f>$H$22</f>
        <v>26258.7256</v>
      </c>
      <c r="G26" s="165">
        <f t="shared" ref="G26:G32" si="36">F26*12</f>
        <v>315104.7072</v>
      </c>
      <c r="H26" s="166" t="s">
        <v>115</v>
      </c>
      <c r="I26" s="167" t="s">
        <v>434</v>
      </c>
      <c r="J26" s="21"/>
      <c r="K26" s="21"/>
      <c r="L26" s="21"/>
      <c r="M26" s="21"/>
      <c r="N26" s="19"/>
      <c r="O26" s="62" t="s">
        <v>125</v>
      </c>
      <c r="P26" s="136">
        <f t="shared" ref="P26:P27" si="37">P17*$F$7</f>
        <v>118.8</v>
      </c>
      <c r="Q26" s="136">
        <f>Q17*(G7+G8)</f>
        <v>0.48</v>
      </c>
      <c r="R26" s="153">
        <f t="shared" si="26"/>
        <v>119.28</v>
      </c>
      <c r="S26" s="22"/>
      <c r="T26" s="62" t="s">
        <v>125</v>
      </c>
      <c r="U26" s="59">
        <f t="shared" si="27"/>
        <v>1092.004452</v>
      </c>
      <c r="V26" s="59">
        <f t="shared" si="28"/>
        <v>4.2076352</v>
      </c>
      <c r="W26" s="87">
        <f t="shared" si="29"/>
        <v>1096.212087</v>
      </c>
      <c r="X26" s="22"/>
      <c r="Y26" s="28"/>
      <c r="Z26" s="168" t="s">
        <v>215</v>
      </c>
      <c r="AA26" s="169">
        <f>SUM(AA24:AA25)</f>
        <v>120000</v>
      </c>
      <c r="AB26" s="170" t="s">
        <v>84</v>
      </c>
      <c r="AC26" s="171">
        <f>SUM(AC24:AC25)</f>
        <v>120000</v>
      </c>
      <c r="AD26" s="170" t="s">
        <v>84</v>
      </c>
      <c r="AE26" s="170" t="s">
        <v>84</v>
      </c>
      <c r="AF26" s="171">
        <f t="shared" ref="AF26:AG26" si="35">SUM(AF24:AF25)</f>
        <v>24000</v>
      </c>
      <c r="AG26" s="169">
        <f t="shared" si="35"/>
        <v>120000</v>
      </c>
      <c r="AH26" s="170" t="s">
        <v>84</v>
      </c>
      <c r="AI26" s="171">
        <f>SUM(AI24:AI25)</f>
        <v>12480</v>
      </c>
      <c r="AJ26" s="170" t="s">
        <v>84</v>
      </c>
      <c r="AK26" s="170" t="s">
        <v>84</v>
      </c>
      <c r="AL26" s="171">
        <f>SUM(AL24:AL25)</f>
        <v>7488</v>
      </c>
      <c r="AM26" s="170" t="s">
        <v>84</v>
      </c>
      <c r="AN26" s="172">
        <f>SUM(AN24:AN25)</f>
        <v>125.952</v>
      </c>
      <c r="AO26" s="112"/>
      <c r="AP26" s="113"/>
    </row>
    <row r="27">
      <c r="A27" s="21"/>
      <c r="B27" s="21"/>
      <c r="C27" s="35"/>
      <c r="D27" s="19"/>
      <c r="E27" s="164" t="s">
        <v>435</v>
      </c>
      <c r="F27" s="165">
        <f>SUM($S$41,$S$43,$S$45)</f>
        <v>-2182.297038</v>
      </c>
      <c r="G27" s="165">
        <f t="shared" si="36"/>
        <v>-26187.56445</v>
      </c>
      <c r="H27" s="166" t="s">
        <v>436</v>
      </c>
      <c r="I27" s="167" t="s">
        <v>437</v>
      </c>
      <c r="J27" s="21"/>
      <c r="K27" s="21"/>
      <c r="L27" s="21"/>
      <c r="M27" s="21"/>
      <c r="N27" s="19"/>
      <c r="O27" s="62" t="s">
        <v>127</v>
      </c>
      <c r="P27" s="136">
        <f t="shared" si="37"/>
        <v>47.52</v>
      </c>
      <c r="Q27" s="136">
        <f>Q18*(G7+G8)</f>
        <v>0.24</v>
      </c>
      <c r="R27" s="153">
        <f t="shared" si="26"/>
        <v>47.76</v>
      </c>
      <c r="S27" s="22"/>
      <c r="T27" s="62" t="s">
        <v>127</v>
      </c>
      <c r="U27" s="59">
        <f t="shared" si="27"/>
        <v>796.0371408</v>
      </c>
      <c r="V27" s="59">
        <f t="shared" si="28"/>
        <v>3.8158856</v>
      </c>
      <c r="W27" s="87">
        <f t="shared" si="29"/>
        <v>799.8530264</v>
      </c>
      <c r="X27" s="22"/>
      <c r="Y27" s="28"/>
      <c r="AK27" s="110"/>
      <c r="AL27" s="110"/>
      <c r="AM27" s="110"/>
      <c r="AN27" s="110"/>
      <c r="AO27" s="112"/>
      <c r="AP27" s="113"/>
    </row>
    <row r="28">
      <c r="A28" s="21"/>
      <c r="B28" s="21"/>
      <c r="C28" s="35"/>
      <c r="D28" s="19"/>
      <c r="E28" s="164" t="s">
        <v>438</v>
      </c>
      <c r="F28" s="165">
        <f>SUM($S$47:$S$50)</f>
        <v>-1692.366025</v>
      </c>
      <c r="G28" s="165">
        <f t="shared" si="36"/>
        <v>-20308.3923</v>
      </c>
      <c r="H28" s="166" t="s">
        <v>436</v>
      </c>
      <c r="I28" s="167" t="s">
        <v>439</v>
      </c>
      <c r="J28" s="21"/>
      <c r="K28" s="21"/>
      <c r="L28" s="21"/>
      <c r="M28" s="21"/>
      <c r="N28" s="19"/>
      <c r="O28" s="72" t="s">
        <v>215</v>
      </c>
      <c r="P28" s="173">
        <f t="shared" ref="P28:R28" si="38">SUM(P24:P27)</f>
        <v>1710.72</v>
      </c>
      <c r="Q28" s="173">
        <f t="shared" si="38"/>
        <v>6.72</v>
      </c>
      <c r="R28" s="174">
        <f t="shared" si="38"/>
        <v>1717.44</v>
      </c>
      <c r="S28" s="22"/>
      <c r="T28" s="72" t="s">
        <v>215</v>
      </c>
      <c r="U28" s="140">
        <f t="shared" ref="U28:W28" si="39">SUM(U24:U27)</f>
        <v>5387.743469</v>
      </c>
      <c r="V28" s="140">
        <f t="shared" si="39"/>
        <v>21.29944144</v>
      </c>
      <c r="W28" s="142">
        <f t="shared" si="39"/>
        <v>5409.04291</v>
      </c>
      <c r="X28" s="22"/>
      <c r="Y28" s="28"/>
      <c r="Z28" s="42" t="s">
        <v>440</v>
      </c>
      <c r="AA28" s="22"/>
      <c r="AB28" s="22"/>
      <c r="AC28" s="22"/>
      <c r="AD28" s="42" t="s">
        <v>441</v>
      </c>
      <c r="AE28" s="21"/>
      <c r="AF28" s="21"/>
      <c r="AG28" s="21"/>
      <c r="AH28" s="143" t="s">
        <v>442</v>
      </c>
      <c r="AI28" s="144"/>
      <c r="AJ28" s="144"/>
      <c r="AK28" s="110"/>
      <c r="AL28" s="110"/>
      <c r="AM28" s="110"/>
      <c r="AN28" s="110"/>
      <c r="AO28" s="112"/>
      <c r="AP28" s="113"/>
    </row>
    <row r="29">
      <c r="A29" s="21"/>
      <c r="B29" s="21"/>
      <c r="C29" s="35"/>
      <c r="D29" s="19"/>
      <c r="E29" s="164" t="s">
        <v>443</v>
      </c>
      <c r="F29" s="165">
        <f>$J$22*(1+'Simple Inputs'!$E$9)</f>
        <v>-14941.1147</v>
      </c>
      <c r="G29" s="165">
        <f t="shared" si="36"/>
        <v>-179293.3764</v>
      </c>
      <c r="H29" s="166" t="s">
        <v>436</v>
      </c>
      <c r="I29" s="167" t="s">
        <v>437</v>
      </c>
      <c r="J29" s="21"/>
      <c r="K29" s="21"/>
      <c r="L29" s="21"/>
      <c r="M29" s="21"/>
      <c r="N29" s="19"/>
      <c r="O29" s="21"/>
      <c r="P29" s="21"/>
      <c r="Q29" s="21"/>
      <c r="R29" s="21"/>
      <c r="S29" s="175"/>
      <c r="T29" s="21"/>
      <c r="U29" s="21"/>
      <c r="V29" s="21"/>
      <c r="W29" s="21"/>
      <c r="X29" s="22"/>
      <c r="Y29" s="28"/>
      <c r="Z29" s="50" t="s">
        <v>73</v>
      </c>
      <c r="AA29" s="37" t="s">
        <v>444</v>
      </c>
      <c r="AB29" s="38" t="s">
        <v>445</v>
      </c>
      <c r="AC29" s="22"/>
      <c r="AD29" s="176" t="s">
        <v>446</v>
      </c>
      <c r="AE29" s="177" t="s">
        <v>447</v>
      </c>
      <c r="AF29" s="178">
        <f>1/1000000</f>
        <v>0.000001</v>
      </c>
      <c r="AG29" s="22"/>
      <c r="AH29" s="148" t="s">
        <v>448</v>
      </c>
      <c r="AI29" s="162" t="s">
        <v>449</v>
      </c>
      <c r="AJ29" s="163" t="s">
        <v>450</v>
      </c>
      <c r="AK29" s="110"/>
      <c r="AL29" s="110"/>
      <c r="AM29" s="110"/>
      <c r="AN29" s="110"/>
      <c r="AO29" s="112"/>
      <c r="AP29" s="113"/>
    </row>
    <row r="30">
      <c r="A30" s="21"/>
      <c r="B30" s="21"/>
      <c r="C30" s="35"/>
      <c r="D30" s="19"/>
      <c r="E30" s="164" t="s">
        <v>451</v>
      </c>
      <c r="F30" s="165">
        <f>-$AN$26</f>
        <v>-125.952</v>
      </c>
      <c r="G30" s="165">
        <f t="shared" si="36"/>
        <v>-1511.424</v>
      </c>
      <c r="H30" s="166" t="s">
        <v>436</v>
      </c>
      <c r="I30" s="167" t="s">
        <v>437</v>
      </c>
      <c r="J30" s="21"/>
      <c r="K30" s="21"/>
      <c r="L30" s="21"/>
      <c r="M30" s="21"/>
      <c r="N30" s="19"/>
      <c r="O30" s="21"/>
      <c r="P30" s="21"/>
      <c r="Q30" s="21"/>
      <c r="R30" s="21"/>
      <c r="S30" s="22"/>
      <c r="T30" s="22"/>
      <c r="U30" s="22"/>
      <c r="V30" s="22"/>
      <c r="W30" s="22"/>
      <c r="X30" s="179"/>
      <c r="Y30" s="180"/>
      <c r="Z30" s="62" t="s">
        <v>92</v>
      </c>
      <c r="AA30" s="63">
        <v>1.0</v>
      </c>
      <c r="AB30" s="64">
        <v>13.0</v>
      </c>
      <c r="AC30" s="22"/>
      <c r="AD30" s="62" t="s">
        <v>452</v>
      </c>
      <c r="AE30" s="63" t="s">
        <v>453</v>
      </c>
      <c r="AF30" s="181">
        <f>1.25/1000000</f>
        <v>0.00000125</v>
      </c>
      <c r="AG30" s="43"/>
      <c r="AH30" s="154" t="s">
        <v>454</v>
      </c>
      <c r="AI30" s="165">
        <f>'Simple Inputs'!$P$46</f>
        <v>25</v>
      </c>
      <c r="AJ30" s="167" t="s">
        <v>455</v>
      </c>
      <c r="AK30" s="182"/>
      <c r="AL30" s="182"/>
      <c r="AM30" s="182"/>
      <c r="AN30" s="182"/>
      <c r="AO30" s="112"/>
      <c r="AP30" s="113"/>
    </row>
    <row r="31">
      <c r="A31" s="21"/>
      <c r="B31" s="21"/>
      <c r="C31" s="35"/>
      <c r="D31" s="19"/>
      <c r="E31" s="164" t="s">
        <v>456</v>
      </c>
      <c r="F31" s="165">
        <f>-$AI$37</f>
        <v>-151.14</v>
      </c>
      <c r="G31" s="165">
        <f t="shared" si="36"/>
        <v>-1813.68</v>
      </c>
      <c r="H31" s="166" t="s">
        <v>436</v>
      </c>
      <c r="I31" s="167" t="s">
        <v>457</v>
      </c>
      <c r="J31" s="21"/>
      <c r="K31" s="21"/>
      <c r="L31" s="21"/>
      <c r="M31" s="21"/>
      <c r="N31" s="19"/>
      <c r="O31" s="42" t="s">
        <v>145</v>
      </c>
      <c r="P31" s="59"/>
      <c r="Q31" s="21"/>
      <c r="R31" s="21"/>
      <c r="S31" s="22"/>
      <c r="T31" s="42" t="s">
        <v>43</v>
      </c>
      <c r="U31" s="43"/>
      <c r="V31" s="22"/>
      <c r="W31" s="22"/>
      <c r="X31" s="22"/>
      <c r="Y31" s="183"/>
      <c r="Z31" s="62" t="s">
        <v>113</v>
      </c>
      <c r="AA31" s="63">
        <v>1.0</v>
      </c>
      <c r="AB31" s="64">
        <v>12.0</v>
      </c>
      <c r="AC31" s="22"/>
      <c r="AD31" s="62" t="s">
        <v>458</v>
      </c>
      <c r="AE31" s="63" t="s">
        <v>459</v>
      </c>
      <c r="AF31" s="181">
        <f>0.1/1000000</f>
        <v>0.0000001</v>
      </c>
      <c r="AG31" s="110"/>
      <c r="AH31" s="154" t="s">
        <v>460</v>
      </c>
      <c r="AI31" s="165">
        <f>IF('Simple Inputs'!$F$47="Yes",MAX(0,$K$4-'Simple Inputs'!$M$47)*'Simple Inputs'!$N$47,0)</f>
        <v>65</v>
      </c>
      <c r="AJ31" s="167" t="s">
        <v>461</v>
      </c>
      <c r="AK31" s="21"/>
      <c r="AL31" s="21"/>
      <c r="AM31" s="21"/>
      <c r="AN31" s="21"/>
      <c r="AO31" s="29"/>
      <c r="AP31" s="23"/>
    </row>
    <row r="32">
      <c r="A32" s="21"/>
      <c r="B32" s="21"/>
      <c r="C32" s="35"/>
      <c r="D32" s="19"/>
      <c r="E32" s="164" t="s">
        <v>462</v>
      </c>
      <c r="F32" s="165">
        <f>-SUM(F27:F31)</f>
        <v>19092.86977</v>
      </c>
      <c r="G32" s="165">
        <f t="shared" si="36"/>
        <v>229114.4372</v>
      </c>
      <c r="H32" s="166" t="s">
        <v>463</v>
      </c>
      <c r="I32" s="167" t="s">
        <v>464</v>
      </c>
      <c r="J32" s="21"/>
      <c r="K32" s="21"/>
      <c r="L32" s="21"/>
      <c r="M32" s="21"/>
      <c r="N32" s="19"/>
      <c r="O32" s="50" t="s">
        <v>169</v>
      </c>
      <c r="P32" s="38" t="s">
        <v>22</v>
      </c>
      <c r="Q32" s="21"/>
      <c r="R32" s="21"/>
      <c r="S32" s="22"/>
      <c r="T32" s="50" t="s">
        <v>68</v>
      </c>
      <c r="U32" s="38" t="s">
        <v>70</v>
      </c>
      <c r="V32" s="43"/>
      <c r="W32" s="184"/>
      <c r="X32" s="22"/>
      <c r="Y32" s="183"/>
      <c r="Z32" s="62" t="s">
        <v>261</v>
      </c>
      <c r="AA32" s="63">
        <v>1.0</v>
      </c>
      <c r="AB32" s="64">
        <v>10.0</v>
      </c>
      <c r="AC32" s="22"/>
      <c r="AD32" s="83" t="s">
        <v>465</v>
      </c>
      <c r="AE32" s="84" t="s">
        <v>466</v>
      </c>
      <c r="AF32" s="185">
        <v>5.0E-6</v>
      </c>
      <c r="AG32" s="110"/>
      <c r="AH32" s="154" t="s">
        <v>467</v>
      </c>
      <c r="AI32" s="165">
        <f>SUM('Simple Inputs'!$P$48:$P$55)</f>
        <v>0</v>
      </c>
      <c r="AJ32" s="167" t="s">
        <v>468</v>
      </c>
      <c r="AK32" s="21"/>
      <c r="AL32" s="21"/>
      <c r="AM32" s="21"/>
      <c r="AN32" s="21"/>
      <c r="AO32" s="29"/>
      <c r="AP32" s="23"/>
    </row>
    <row r="33">
      <c r="A33" s="21"/>
      <c r="B33" s="21"/>
      <c r="C33" s="35"/>
      <c r="D33" s="19"/>
      <c r="E33" s="164" t="s">
        <v>469</v>
      </c>
      <c r="F33" s="186">
        <f>IFERROR(F32/$K$4,0)</f>
        <v>0.159107248</v>
      </c>
      <c r="G33" s="186">
        <f t="shared" ref="G33:G35" si="40">F33</f>
        <v>0.159107248</v>
      </c>
      <c r="H33" s="166" t="s">
        <v>463</v>
      </c>
      <c r="I33" s="167" t="s">
        <v>464</v>
      </c>
      <c r="J33" s="21"/>
      <c r="K33" s="21"/>
      <c r="L33" s="21"/>
      <c r="M33" s="21"/>
      <c r="N33" s="19"/>
      <c r="O33" s="62" t="s">
        <v>187</v>
      </c>
      <c r="P33" s="96">
        <f>'Simple Inputs'!$E$10</f>
        <v>0.029</v>
      </c>
      <c r="Q33" s="21"/>
      <c r="R33" s="21"/>
      <c r="S33" s="22"/>
      <c r="T33" s="57">
        <f>'Simple Inputs'!$E$27</f>
        <v>3</v>
      </c>
      <c r="U33" s="87">
        <f>'Simple Inputs'!$F$27</f>
        <v>1.99</v>
      </c>
      <c r="V33" s="109"/>
      <c r="W33" s="22"/>
      <c r="X33" s="22"/>
      <c r="Y33" s="183"/>
      <c r="Z33" s="62" t="s">
        <v>135</v>
      </c>
      <c r="AA33" s="63" t="s">
        <v>84</v>
      </c>
      <c r="AB33" s="64">
        <v>9.0</v>
      </c>
      <c r="AC33" s="22"/>
      <c r="AD33" s="187" t="s">
        <v>470</v>
      </c>
      <c r="AE33" s="188" t="s">
        <v>471</v>
      </c>
      <c r="AF33" s="21"/>
      <c r="AG33" s="110"/>
      <c r="AH33" s="154" t="s">
        <v>472</v>
      </c>
      <c r="AI33" s="165">
        <f>SUM('Simple Inputs'!$P$56:$P$62)</f>
        <v>20</v>
      </c>
      <c r="AJ33" s="167" t="s">
        <v>468</v>
      </c>
      <c r="AO33" s="29"/>
      <c r="AP33" s="23"/>
    </row>
    <row r="34">
      <c r="A34" s="21"/>
      <c r="B34" s="21"/>
      <c r="C34" s="35"/>
      <c r="D34" s="19"/>
      <c r="E34" s="164" t="s">
        <v>473</v>
      </c>
      <c r="F34" s="186">
        <f>IFERROR(-(F29+F30)/$K$4,0)</f>
        <v>0.1255588892</v>
      </c>
      <c r="G34" s="186">
        <f t="shared" si="40"/>
        <v>0.1255588892</v>
      </c>
      <c r="H34" s="166" t="s">
        <v>463</v>
      </c>
      <c r="I34" s="167" t="s">
        <v>437</v>
      </c>
      <c r="J34" s="21"/>
      <c r="K34" s="21"/>
      <c r="L34" s="21"/>
      <c r="M34" s="21"/>
      <c r="N34" s="92"/>
      <c r="O34" s="101" t="s">
        <v>211</v>
      </c>
      <c r="P34" s="104">
        <f>'Simple Inputs'!$E$11</f>
        <v>0.3</v>
      </c>
      <c r="Q34" s="21"/>
      <c r="R34" s="21"/>
      <c r="S34" s="22"/>
      <c r="T34" s="57">
        <f>'Simple Inputs'!$E$28</f>
        <v>10</v>
      </c>
      <c r="U34" s="87">
        <f>'Simple Inputs'!$F$28</f>
        <v>4.99</v>
      </c>
      <c r="V34" s="109"/>
      <c r="W34" s="22"/>
      <c r="X34" s="22"/>
      <c r="Y34" s="183"/>
      <c r="Z34" s="189" t="s">
        <v>151</v>
      </c>
      <c r="AA34" s="63" t="s">
        <v>84</v>
      </c>
      <c r="AB34" s="64" t="s">
        <v>84</v>
      </c>
      <c r="AC34" s="22"/>
      <c r="AD34" s="184"/>
      <c r="AE34" s="184"/>
      <c r="AF34" s="175"/>
      <c r="AG34" s="110"/>
      <c r="AH34" s="154" t="s">
        <v>474</v>
      </c>
      <c r="AI34" s="165">
        <f>'Simple Inputs'!$P$63</f>
        <v>1.14</v>
      </c>
      <c r="AJ34" s="167" t="s">
        <v>475</v>
      </c>
      <c r="AO34" s="29"/>
      <c r="AP34" s="23"/>
    </row>
    <row r="35">
      <c r="A35" s="21"/>
      <c r="B35" s="21"/>
      <c r="C35" s="35"/>
      <c r="D35" s="19"/>
      <c r="E35" s="164" t="s">
        <v>476</v>
      </c>
      <c r="F35" s="186">
        <f>IFERROR(-F31/$K$4,0)</f>
        <v>0.0012595</v>
      </c>
      <c r="G35" s="186">
        <f t="shared" si="40"/>
        <v>0.0012595</v>
      </c>
      <c r="H35" s="166" t="s">
        <v>463</v>
      </c>
      <c r="I35" s="167" t="s">
        <v>464</v>
      </c>
      <c r="J35" s="21"/>
      <c r="K35" s="21"/>
      <c r="L35" s="21"/>
      <c r="M35" s="21"/>
      <c r="N35" s="19"/>
      <c r="O35" s="21"/>
      <c r="P35" s="21"/>
      <c r="Q35" s="21"/>
      <c r="R35" s="21"/>
      <c r="S35" s="22"/>
      <c r="T35" s="57">
        <f>'Simple Inputs'!$E$29</f>
        <v>25</v>
      </c>
      <c r="U35" s="87">
        <f>'Simple Inputs'!$F$29</f>
        <v>9.99</v>
      </c>
      <c r="V35" s="109"/>
      <c r="W35" s="22"/>
      <c r="X35" s="22"/>
      <c r="Y35" s="183"/>
      <c r="Z35" s="190" t="s">
        <v>477</v>
      </c>
      <c r="AA35" s="43">
        <f t="shared" ref="AA35:AB35" si="41">SUM(AA30:AA34)</f>
        <v>3</v>
      </c>
      <c r="AB35" s="191">
        <f t="shared" si="41"/>
        <v>44</v>
      </c>
      <c r="AC35" s="22"/>
      <c r="AD35" s="175"/>
      <c r="AE35" s="175"/>
      <c r="AF35" s="175"/>
      <c r="AG35" s="110"/>
      <c r="AH35" s="154" t="s">
        <v>478</v>
      </c>
      <c r="AI35" s="165">
        <f>SUM('Simple Inputs'!$P$64:$P$65)</f>
        <v>40</v>
      </c>
      <c r="AJ35" s="167" t="s">
        <v>479</v>
      </c>
      <c r="AO35" s="124"/>
      <c r="AP35" s="125"/>
    </row>
    <row r="36">
      <c r="A36" s="21"/>
      <c r="B36" s="21"/>
      <c r="C36" s="35"/>
      <c r="D36" s="19"/>
      <c r="E36" s="192" t="s">
        <v>480</v>
      </c>
      <c r="F36" s="193">
        <f>SUM(F26:F31)</f>
        <v>7165.855835</v>
      </c>
      <c r="G36" s="193">
        <f>F36*12</f>
        <v>85990.27002</v>
      </c>
      <c r="H36" s="194" t="s">
        <v>260</v>
      </c>
      <c r="I36" s="195" t="s">
        <v>464</v>
      </c>
      <c r="J36" s="21"/>
      <c r="K36" s="21"/>
      <c r="L36" s="21"/>
      <c r="M36" s="21"/>
      <c r="N36" s="19"/>
      <c r="O36" s="21"/>
      <c r="P36" s="21"/>
      <c r="Q36" s="21"/>
      <c r="R36" s="21"/>
      <c r="S36" s="22"/>
      <c r="T36" s="77">
        <f>'Simple Inputs'!$E$30</f>
        <v>50</v>
      </c>
      <c r="U36" s="104">
        <f>'Simple Inputs'!$F$30</f>
        <v>17.99</v>
      </c>
      <c r="V36" s="109"/>
      <c r="W36" s="22"/>
      <c r="X36" s="22"/>
      <c r="Y36" s="183"/>
      <c r="Z36" s="190" t="s">
        <v>481</v>
      </c>
      <c r="AA36" s="43">
        <f>(AA30*U6)+(AA31*U7)+(AA32*U8)</f>
        <v>9</v>
      </c>
      <c r="AB36" s="191">
        <f>(AB30*V6)+(AB31*V7)+(AB32*V8)+(AB33*V9)</f>
        <v>150</v>
      </c>
      <c r="AC36" s="21"/>
      <c r="AD36" s="21"/>
      <c r="AE36" s="21"/>
      <c r="AF36" s="21"/>
      <c r="AG36" s="182"/>
      <c r="AH36" s="154" t="s">
        <v>482</v>
      </c>
      <c r="AI36" s="165">
        <f>SUM('Simple Inputs'!$P$66:$P$67,'Simple Inputs'!$P$71)</f>
        <v>0</v>
      </c>
      <c r="AJ36" s="167" t="s">
        <v>483</v>
      </c>
      <c r="AO36" s="124"/>
      <c r="AP36" s="125"/>
    </row>
    <row r="37">
      <c r="A37" s="21"/>
      <c r="B37" s="21"/>
      <c r="C37" s="35"/>
      <c r="D37" s="19"/>
      <c r="E37" s="164" t="s">
        <v>484</v>
      </c>
      <c r="F37" s="165">
        <f>IFERROR(F36/F26,0)</f>
        <v>0.2728942731</v>
      </c>
      <c r="G37" s="165">
        <f>F37</f>
        <v>0.2728942731</v>
      </c>
      <c r="H37" s="166" t="s">
        <v>463</v>
      </c>
      <c r="I37" s="167" t="s">
        <v>464</v>
      </c>
      <c r="J37" s="21"/>
      <c r="K37" s="21"/>
      <c r="L37" s="21"/>
      <c r="M37" s="21"/>
      <c r="N37" s="19"/>
      <c r="O37" s="21"/>
      <c r="P37" s="21"/>
      <c r="Q37" s="21"/>
      <c r="R37" s="21"/>
      <c r="S37" s="175"/>
      <c r="T37" s="22"/>
      <c r="U37" s="22"/>
      <c r="V37" s="22"/>
      <c r="W37" s="22"/>
      <c r="X37" s="22"/>
      <c r="Y37" s="183"/>
      <c r="Z37" s="196" t="s">
        <v>485</v>
      </c>
      <c r="AA37" s="75">
        <f>$G$13/AA36</f>
        <v>-0.008333333333</v>
      </c>
      <c r="AB37" s="197">
        <f>$G$14/AB36</f>
        <v>-0.02537533333</v>
      </c>
      <c r="AC37" s="21"/>
      <c r="AD37" s="21"/>
      <c r="AE37" s="21"/>
      <c r="AF37" s="21"/>
      <c r="AG37" s="21"/>
      <c r="AH37" s="168" t="s">
        <v>486</v>
      </c>
      <c r="AI37" s="198">
        <f>SUM(AI30:AI36)</f>
        <v>151.14</v>
      </c>
      <c r="AJ37" s="199" t="s">
        <v>487</v>
      </c>
      <c r="AO37" s="124"/>
      <c r="AP37" s="125"/>
    </row>
    <row r="38">
      <c r="A38" s="21"/>
      <c r="B38" s="21"/>
      <c r="C38" s="35"/>
      <c r="D38" s="19"/>
      <c r="E38" s="164" t="s">
        <v>488</v>
      </c>
      <c r="F38" s="165">
        <f>F36/'Simple Inputs'!$E$16</f>
        <v>3582.927917</v>
      </c>
      <c r="G38" s="165">
        <f t="shared" ref="G38:G40" si="42">F38*12</f>
        <v>42995.13501</v>
      </c>
      <c r="H38" s="166" t="s">
        <v>489</v>
      </c>
      <c r="I38" s="167" t="s">
        <v>464</v>
      </c>
      <c r="J38" s="21"/>
      <c r="K38" s="21"/>
      <c r="L38" s="21"/>
      <c r="M38" s="21"/>
      <c r="N38" s="19"/>
      <c r="O38" s="151" t="s">
        <v>490</v>
      </c>
      <c r="P38" s="144"/>
      <c r="Q38" s="144"/>
      <c r="R38" s="144"/>
      <c r="S38" s="200"/>
      <c r="T38" s="201"/>
      <c r="U38" s="22"/>
      <c r="V38" s="22"/>
      <c r="W38" s="22"/>
      <c r="X38" s="22"/>
      <c r="Y38" s="202"/>
      <c r="Z38" s="203"/>
      <c r="AA38" s="204"/>
      <c r="AB38" s="204"/>
      <c r="AC38" s="204"/>
      <c r="AD38" s="204"/>
      <c r="AE38" s="204"/>
      <c r="AF38" s="204"/>
      <c r="AG38" s="204"/>
      <c r="AH38" s="204"/>
      <c r="AI38" s="204"/>
      <c r="AJ38" s="204"/>
      <c r="AK38" s="204"/>
      <c r="AL38" s="204"/>
      <c r="AM38" s="204"/>
      <c r="AN38" s="204"/>
      <c r="AO38" s="205"/>
      <c r="AP38" s="23"/>
    </row>
    <row r="39">
      <c r="A39" s="21"/>
      <c r="B39" s="21"/>
      <c r="C39" s="35"/>
      <c r="D39" s="19"/>
      <c r="E39" s="164" t="s">
        <v>491</v>
      </c>
      <c r="F39" s="165">
        <f>-MAX(0,F38)*'Simple Inputs'!$E$15</f>
        <v>-1218.195492</v>
      </c>
      <c r="G39" s="165">
        <f t="shared" si="42"/>
        <v>-14618.3459</v>
      </c>
      <c r="H39" s="166" t="s">
        <v>489</v>
      </c>
      <c r="I39" s="167" t="s">
        <v>492</v>
      </c>
      <c r="J39" s="21"/>
      <c r="K39" s="21"/>
      <c r="L39" s="21"/>
      <c r="M39" s="21"/>
      <c r="N39" s="19"/>
      <c r="O39" s="161" t="s">
        <v>426</v>
      </c>
      <c r="P39" s="162" t="s">
        <v>493</v>
      </c>
      <c r="Q39" s="162" t="s">
        <v>494</v>
      </c>
      <c r="R39" s="162" t="s">
        <v>495</v>
      </c>
      <c r="S39" s="149" t="s">
        <v>215</v>
      </c>
      <c r="T39" s="150" t="s">
        <v>496</v>
      </c>
      <c r="U39" s="22"/>
      <c r="V39" s="22"/>
      <c r="W39" s="22"/>
      <c r="X39" s="206"/>
      <c r="Y39" s="22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35"/>
      <c r="AP39" s="23"/>
    </row>
    <row r="40">
      <c r="A40" s="21"/>
      <c r="B40" s="21"/>
      <c r="C40" s="35"/>
      <c r="D40" s="19"/>
      <c r="E40" s="207" t="s">
        <v>497</v>
      </c>
      <c r="F40" s="208">
        <f>SUM(F38:F39)</f>
        <v>2364.732425</v>
      </c>
      <c r="G40" s="208">
        <f t="shared" si="42"/>
        <v>28376.78911</v>
      </c>
      <c r="H40" s="209" t="s">
        <v>489</v>
      </c>
      <c r="I40" s="210" t="s">
        <v>464</v>
      </c>
      <c r="J40" s="21"/>
      <c r="K40" s="21"/>
      <c r="L40" s="21"/>
      <c r="M40" s="144"/>
      <c r="N40" s="19"/>
      <c r="O40" s="164" t="s">
        <v>498</v>
      </c>
      <c r="P40" s="165">
        <f>$H$19</f>
        <v>18349.2</v>
      </c>
      <c r="Q40" s="165">
        <f>$H$20</f>
        <v>1699.9</v>
      </c>
      <c r="R40" s="165">
        <f>$H$21</f>
        <v>6209.6256</v>
      </c>
      <c r="S40" s="211">
        <f t="shared" ref="S40:S52" si="43">SUM(P40:R40)</f>
        <v>26258.7256</v>
      </c>
      <c r="T40" s="212" t="s">
        <v>499</v>
      </c>
      <c r="U40" s="201"/>
      <c r="V40" s="201"/>
      <c r="W40" s="201"/>
      <c r="X40" s="206"/>
      <c r="Y40" s="22"/>
      <c r="AC40" s="21"/>
      <c r="AD40" s="21"/>
      <c r="AE40" s="21"/>
      <c r="AF40" s="166"/>
      <c r="AG40" s="166"/>
      <c r="AH40" s="166"/>
      <c r="AI40" s="166"/>
      <c r="AJ40" s="166"/>
      <c r="AK40" s="166"/>
      <c r="AL40" s="166"/>
      <c r="AM40" s="166"/>
      <c r="AN40" s="166"/>
      <c r="AO40" s="35"/>
      <c r="AP40" s="23"/>
    </row>
    <row r="41">
      <c r="A41" s="21"/>
      <c r="B41" s="21"/>
      <c r="C41" s="35"/>
      <c r="D41" s="213"/>
      <c r="E41" s="204"/>
      <c r="F41" s="214"/>
      <c r="G41" s="214"/>
      <c r="H41" s="204"/>
      <c r="I41" s="204"/>
      <c r="J41" s="215"/>
      <c r="K41" s="215"/>
      <c r="L41" s="215"/>
      <c r="M41" s="215"/>
      <c r="N41" s="19"/>
      <c r="O41" s="164" t="s">
        <v>500</v>
      </c>
      <c r="P41" s="165">
        <f>-P40*'Simple Inputs'!$E$6</f>
        <v>-917.46</v>
      </c>
      <c r="Q41" s="165">
        <f>-Q40*'Simple Inputs'!$E$6</f>
        <v>-84.995</v>
      </c>
      <c r="R41" s="165">
        <f>-R40*'Simple Inputs'!$E$6</f>
        <v>-310.48128</v>
      </c>
      <c r="S41" s="211">
        <f t="shared" si="43"/>
        <v>-1312.93628</v>
      </c>
      <c r="T41" s="212" t="s">
        <v>501</v>
      </c>
      <c r="U41" s="21"/>
      <c r="V41" s="21"/>
      <c r="W41" s="21"/>
      <c r="X41" s="206"/>
      <c r="Y41" s="22"/>
      <c r="AC41" s="21"/>
      <c r="AD41" s="21"/>
      <c r="AE41" s="21"/>
      <c r="AF41" s="166"/>
      <c r="AG41" s="166"/>
      <c r="AH41" s="166"/>
      <c r="AI41" s="166"/>
      <c r="AJ41" s="166"/>
      <c r="AK41" s="166"/>
      <c r="AL41" s="166"/>
      <c r="AM41" s="166"/>
      <c r="AN41" s="166"/>
      <c r="AO41" s="35"/>
      <c r="AP41" s="23"/>
    </row>
    <row r="42">
      <c r="A42" s="21"/>
      <c r="B42" s="21"/>
      <c r="E42" s="21"/>
      <c r="F42" s="21"/>
      <c r="G42" s="21"/>
      <c r="H42" s="21"/>
      <c r="I42" s="21"/>
      <c r="J42" s="21"/>
      <c r="K42" s="21"/>
      <c r="L42" s="21"/>
      <c r="M42" s="21"/>
      <c r="N42" s="19"/>
      <c r="O42" s="164" t="s">
        <v>502</v>
      </c>
      <c r="P42" s="165">
        <f t="shared" ref="P42:R42" si="44">SUM(P40:P41)</f>
        <v>17431.74</v>
      </c>
      <c r="Q42" s="165">
        <f t="shared" si="44"/>
        <v>1614.905</v>
      </c>
      <c r="R42" s="165">
        <f t="shared" si="44"/>
        <v>5899.14432</v>
      </c>
      <c r="S42" s="211">
        <f t="shared" si="43"/>
        <v>24945.78932</v>
      </c>
      <c r="T42" s="212" t="s">
        <v>503</v>
      </c>
      <c r="U42" s="21"/>
      <c r="V42" s="21"/>
      <c r="W42" s="21"/>
      <c r="X42" s="206"/>
      <c r="Y42" s="22"/>
      <c r="AC42" s="21"/>
      <c r="AD42" s="21"/>
      <c r="AE42" s="21"/>
      <c r="AF42" s="166"/>
      <c r="AG42" s="166"/>
      <c r="AH42" s="166"/>
      <c r="AI42" s="166"/>
      <c r="AJ42" s="166"/>
      <c r="AK42" s="166"/>
      <c r="AL42" s="166"/>
      <c r="AM42" s="166"/>
      <c r="AN42" s="166"/>
      <c r="AO42" s="35"/>
      <c r="AP42" s="23"/>
    </row>
    <row r="43">
      <c r="A43" s="21"/>
      <c r="B43" s="21"/>
      <c r="E43" s="21"/>
      <c r="F43" s="21"/>
      <c r="G43" s="21"/>
      <c r="H43" s="21"/>
      <c r="I43" s="21"/>
      <c r="J43" s="21"/>
      <c r="K43" s="21"/>
      <c r="L43" s="21"/>
      <c r="M43" s="21"/>
      <c r="N43" s="19"/>
      <c r="O43" s="164" t="s">
        <v>504</v>
      </c>
      <c r="P43" s="165">
        <f>-P42*'Simple Inputs'!$E$7</f>
        <v>-522.9522</v>
      </c>
      <c r="Q43" s="165">
        <f>-Q42*'Simple Inputs'!$E$7</f>
        <v>-48.44715</v>
      </c>
      <c r="R43" s="165">
        <f>-R42*'Simple Inputs'!$E$7</f>
        <v>-176.9743296</v>
      </c>
      <c r="S43" s="211">
        <f t="shared" si="43"/>
        <v>-748.3736796</v>
      </c>
      <c r="T43" s="212" t="s">
        <v>505</v>
      </c>
      <c r="U43" s="21"/>
      <c r="V43" s="21"/>
      <c r="W43" s="21"/>
      <c r="X43" s="206"/>
      <c r="Y43" s="22"/>
      <c r="AC43" s="21"/>
      <c r="AD43" s="21"/>
      <c r="AE43" s="21"/>
      <c r="AF43" s="166"/>
      <c r="AG43" s="166"/>
      <c r="AH43" s="166"/>
      <c r="AI43" s="166"/>
      <c r="AJ43" s="166"/>
      <c r="AK43" s="166"/>
      <c r="AL43" s="166"/>
      <c r="AM43" s="166"/>
      <c r="AN43" s="166"/>
      <c r="AO43" s="35"/>
      <c r="AP43" s="23"/>
    </row>
    <row r="44">
      <c r="A44" s="21"/>
      <c r="B44" s="21"/>
      <c r="E44" s="21"/>
      <c r="F44" s="21"/>
      <c r="G44" s="21"/>
      <c r="H44" s="21"/>
      <c r="I44" s="21"/>
      <c r="J44" s="21"/>
      <c r="K44" s="21"/>
      <c r="L44" s="21"/>
      <c r="M44" s="21"/>
      <c r="N44" s="19"/>
      <c r="O44" s="164" t="s">
        <v>506</v>
      </c>
      <c r="P44" s="165">
        <f t="shared" ref="P44:R44" si="45">SUM(P42:P43)</f>
        <v>16908.7878</v>
      </c>
      <c r="Q44" s="165">
        <f t="shared" si="45"/>
        <v>1566.45785</v>
      </c>
      <c r="R44" s="165">
        <f t="shared" si="45"/>
        <v>5722.16999</v>
      </c>
      <c r="S44" s="211">
        <f t="shared" si="43"/>
        <v>24197.41564</v>
      </c>
      <c r="T44" s="212" t="s">
        <v>507</v>
      </c>
      <c r="U44" s="21"/>
      <c r="V44" s="21"/>
      <c r="W44" s="21"/>
      <c r="X44" s="206"/>
      <c r="Y44" s="22"/>
      <c r="AC44" s="21"/>
      <c r="AD44" s="21"/>
      <c r="AE44" s="21"/>
      <c r="AF44" s="166"/>
      <c r="AG44" s="166"/>
      <c r="AH44" s="166"/>
      <c r="AI44" s="166"/>
      <c r="AJ44" s="166"/>
      <c r="AK44" s="166"/>
      <c r="AL44" s="166"/>
      <c r="AM44" s="166"/>
      <c r="AN44" s="166"/>
      <c r="AO44" s="35"/>
      <c r="AP44" s="23"/>
    </row>
    <row r="45">
      <c r="A45" s="21"/>
      <c r="B45" s="21"/>
      <c r="E45" s="21"/>
      <c r="F45" s="21"/>
      <c r="G45" s="21"/>
      <c r="H45" s="21"/>
      <c r="I45" s="21"/>
      <c r="J45" s="21"/>
      <c r="K45" s="21"/>
      <c r="L45" s="21"/>
      <c r="M45" s="21"/>
      <c r="N45" s="19"/>
      <c r="O45" s="164" t="s">
        <v>508</v>
      </c>
      <c r="P45" s="165">
        <f>-P44*'Simple Inputs'!$E$8</f>
        <v>-84.543939</v>
      </c>
      <c r="Q45" s="165">
        <f>-Q44*'Simple Inputs'!$E$8</f>
        <v>-7.83228925</v>
      </c>
      <c r="R45" s="165">
        <f>-R44*'Simple Inputs'!$E$8</f>
        <v>-28.61084995</v>
      </c>
      <c r="S45" s="211">
        <f t="shared" si="43"/>
        <v>-120.9870782</v>
      </c>
      <c r="T45" s="212" t="s">
        <v>509</v>
      </c>
      <c r="U45" s="21"/>
      <c r="V45" s="21"/>
      <c r="W45" s="21"/>
      <c r="X45" s="206"/>
      <c r="Y45" s="22"/>
      <c r="AC45" s="21"/>
      <c r="AD45" s="21"/>
      <c r="AE45" s="21"/>
      <c r="AF45" s="166"/>
      <c r="AG45" s="166"/>
      <c r="AH45" s="166"/>
      <c r="AI45" s="166"/>
      <c r="AJ45" s="166"/>
      <c r="AK45" s="166"/>
      <c r="AL45" s="166"/>
      <c r="AM45" s="166"/>
      <c r="AN45" s="166"/>
      <c r="AO45" s="35"/>
      <c r="AP45" s="23"/>
    </row>
    <row r="46">
      <c r="A46" s="21"/>
      <c r="B46" s="21"/>
      <c r="E46" s="21"/>
      <c r="F46" s="21"/>
      <c r="G46" s="21"/>
      <c r="H46" s="21"/>
      <c r="I46" s="21"/>
      <c r="J46" s="21"/>
      <c r="K46" s="21"/>
      <c r="L46" s="21"/>
      <c r="M46" s="21"/>
      <c r="N46" s="19"/>
      <c r="O46" s="164" t="s">
        <v>510</v>
      </c>
      <c r="P46" s="165">
        <f t="shared" ref="P46:R46" si="46">SUM(P44:P45)</f>
        <v>16824.24386</v>
      </c>
      <c r="Q46" s="165">
        <f t="shared" si="46"/>
        <v>1558.625561</v>
      </c>
      <c r="R46" s="165">
        <f t="shared" si="46"/>
        <v>5693.55914</v>
      </c>
      <c r="S46" s="211">
        <f t="shared" si="43"/>
        <v>24076.42856</v>
      </c>
      <c r="T46" s="212" t="s">
        <v>511</v>
      </c>
      <c r="U46" s="21"/>
      <c r="V46" s="21"/>
      <c r="W46" s="21"/>
      <c r="X46" s="206"/>
      <c r="Y46" s="22"/>
      <c r="AC46" s="21"/>
      <c r="AD46" s="21"/>
      <c r="AE46" s="21"/>
      <c r="AF46" s="166"/>
      <c r="AG46" s="166"/>
      <c r="AH46" s="166"/>
      <c r="AI46" s="166"/>
      <c r="AJ46" s="166"/>
      <c r="AK46" s="166"/>
      <c r="AL46" s="166"/>
      <c r="AM46" s="166"/>
      <c r="AN46" s="166"/>
      <c r="AO46" s="35"/>
      <c r="AP46" s="23"/>
    </row>
    <row r="47">
      <c r="A47" s="21"/>
      <c r="B47" s="21"/>
      <c r="E47" s="21"/>
      <c r="F47" s="21"/>
      <c r="G47" s="21"/>
      <c r="H47" s="21"/>
      <c r="I47" s="21"/>
      <c r="J47" s="21"/>
      <c r="K47" s="21"/>
      <c r="L47" s="21"/>
      <c r="M47" s="21"/>
      <c r="N47" s="19"/>
      <c r="O47" s="164" t="s">
        <v>512</v>
      </c>
      <c r="P47" s="165">
        <f>-P46*'Simple Inputs'!$E$10</f>
        <v>-487.903072</v>
      </c>
      <c r="Q47" s="165">
        <f>-Q46*'Simple Inputs'!$E$10</f>
        <v>-45.20014126</v>
      </c>
      <c r="R47" s="165">
        <f>-R46*'Simple Inputs'!$E$10</f>
        <v>-165.1132151</v>
      </c>
      <c r="S47" s="211">
        <f t="shared" si="43"/>
        <v>-698.2164283</v>
      </c>
      <c r="T47" s="212" t="s">
        <v>513</v>
      </c>
      <c r="U47" s="21"/>
      <c r="V47" s="21"/>
      <c r="W47" s="21"/>
      <c r="X47" s="206"/>
      <c r="Y47" s="22"/>
      <c r="AC47" s="21"/>
      <c r="AD47" s="21"/>
      <c r="AE47" s="21"/>
      <c r="AF47" s="166"/>
      <c r="AG47" s="166"/>
      <c r="AH47" s="166"/>
      <c r="AI47" s="166"/>
      <c r="AJ47" s="166"/>
      <c r="AK47" s="166"/>
      <c r="AL47" s="166"/>
      <c r="AM47" s="166"/>
      <c r="AN47" s="166"/>
      <c r="AO47" s="35"/>
      <c r="AP47" s="23"/>
    </row>
    <row r="48">
      <c r="A48" s="21"/>
      <c r="B48" s="21"/>
      <c r="E48" s="21"/>
      <c r="F48" s="21"/>
      <c r="G48" s="21"/>
      <c r="H48" s="21"/>
      <c r="I48" s="21"/>
      <c r="J48" s="21"/>
      <c r="K48" s="21"/>
      <c r="L48" s="216"/>
      <c r="M48" s="21"/>
      <c r="N48" s="19"/>
      <c r="O48" s="154" t="s">
        <v>514</v>
      </c>
      <c r="P48" s="211">
        <f>-$F$19*(1-'Simple Inputs'!$E$6)*'Simple Inputs'!$E$11</f>
        <v>-307.8</v>
      </c>
      <c r="Q48" s="211">
        <f>-$F$20*(1-'Simple Inputs'!$E$6)*'Simple Inputs'!$E$11</f>
        <v>-2.85</v>
      </c>
      <c r="R48" s="211">
        <f>-$F$21*(1-'Simple Inputs'!$E$6)*'Simple Inputs'!$E$11</f>
        <v>-489.4704</v>
      </c>
      <c r="S48" s="211">
        <f t="shared" si="43"/>
        <v>-800.1204</v>
      </c>
      <c r="T48" s="212" t="s">
        <v>515</v>
      </c>
      <c r="U48" s="21"/>
      <c r="V48" s="21"/>
      <c r="W48" s="21"/>
      <c r="X48" s="206"/>
      <c r="Y48" s="22"/>
      <c r="AC48" s="21"/>
      <c r="AD48" s="21"/>
      <c r="AE48" s="21"/>
      <c r="AF48" s="166"/>
      <c r="AG48" s="166"/>
      <c r="AH48" s="166"/>
      <c r="AI48" s="166"/>
      <c r="AJ48" s="166"/>
      <c r="AK48" s="166"/>
      <c r="AL48" s="166"/>
      <c r="AM48" s="166"/>
      <c r="AN48" s="166"/>
      <c r="AO48" s="35"/>
      <c r="AP48" s="23"/>
    </row>
    <row r="49">
      <c r="A49" s="21"/>
      <c r="B49" s="21"/>
      <c r="E49" s="21"/>
      <c r="F49" s="21"/>
      <c r="G49" s="21"/>
      <c r="H49" s="21"/>
      <c r="I49" s="21"/>
      <c r="J49" s="21"/>
      <c r="K49" s="21"/>
      <c r="L49" s="21"/>
      <c r="M49" s="21"/>
      <c r="N49" s="19"/>
      <c r="O49" s="154" t="s">
        <v>516</v>
      </c>
      <c r="P49" s="211">
        <f>-$F$19*(1-'Simple Inputs'!$E$6)*(1-'Simple Inputs'!$E$7)*'Simple Inputs'!$E$8*'Simple Inputs'!$E$12</f>
        <v>-74.6415</v>
      </c>
      <c r="Q49" s="211">
        <f>-$F$20*(1-'Simple Inputs'!$E$6)*(1-'Simple Inputs'!$E$7)*'Simple Inputs'!$E$8*'Simple Inputs'!$E$12</f>
        <v>-0.691125</v>
      </c>
      <c r="R49" s="211">
        <f>-$F$21*(1-'Simple Inputs'!$E$6)*(1-'Simple Inputs'!$E$7)*'Simple Inputs'!$E$8*'Simple Inputs'!$E$12</f>
        <v>-118.696572</v>
      </c>
      <c r="S49" s="211">
        <f t="shared" si="43"/>
        <v>-194.029197</v>
      </c>
      <c r="T49" s="212" t="s">
        <v>517</v>
      </c>
      <c r="U49" s="21"/>
      <c r="V49" s="21"/>
      <c r="W49" s="21"/>
      <c r="X49" s="206"/>
      <c r="Y49" s="22"/>
      <c r="Z49" s="21"/>
      <c r="AA49" s="21"/>
      <c r="AB49" s="21"/>
      <c r="AC49" s="21"/>
      <c r="AD49" s="21"/>
      <c r="AE49" s="21"/>
      <c r="AF49" s="166"/>
      <c r="AG49" s="166"/>
      <c r="AH49" s="166"/>
      <c r="AI49" s="166"/>
      <c r="AJ49" s="166"/>
      <c r="AK49" s="166"/>
      <c r="AL49" s="166"/>
      <c r="AM49" s="166"/>
      <c r="AN49" s="166"/>
      <c r="AO49" s="35"/>
      <c r="AP49" s="23"/>
    </row>
    <row r="50">
      <c r="A50" s="21"/>
      <c r="B50" s="21"/>
      <c r="E50" s="21"/>
      <c r="F50" s="21"/>
      <c r="G50" s="21"/>
      <c r="H50" s="21"/>
      <c r="I50" s="21"/>
      <c r="J50" s="21"/>
      <c r="K50" s="21"/>
      <c r="L50" s="21"/>
      <c r="M50" s="21"/>
      <c r="N50" s="19"/>
      <c r="O50" s="154" t="s">
        <v>518</v>
      </c>
      <c r="P50" s="211">
        <f>-P46*IF('Simple Inputs'!$F$45="Yes",'Simple Inputs'!$I$45,0)</f>
        <v>0</v>
      </c>
      <c r="Q50" s="211">
        <f>-Q46*IF('Simple Inputs'!$F$45="Yes",'Simple Inputs'!$I$45,0)</f>
        <v>0</v>
      </c>
      <c r="R50" s="211">
        <f>-R46*IF('Simple Inputs'!$F$45="Yes",'Simple Inputs'!$I$45,0)</f>
        <v>0</v>
      </c>
      <c r="S50" s="211">
        <f t="shared" si="43"/>
        <v>0</v>
      </c>
      <c r="T50" s="212" t="s">
        <v>519</v>
      </c>
      <c r="U50" s="21"/>
      <c r="V50" s="21"/>
      <c r="W50" s="21"/>
      <c r="X50" s="206"/>
      <c r="Y50" s="21"/>
    </row>
    <row r="51">
      <c r="A51" s="21"/>
      <c r="B51" s="21"/>
      <c r="E51" s="21"/>
      <c r="F51" s="21"/>
      <c r="G51" s="21"/>
      <c r="H51" s="21"/>
      <c r="I51" s="21"/>
      <c r="J51" s="21"/>
      <c r="K51" s="21"/>
      <c r="L51" s="21"/>
      <c r="M51" s="21"/>
      <c r="N51" s="19"/>
      <c r="O51" s="217" t="s">
        <v>520</v>
      </c>
      <c r="P51" s="218">
        <f t="shared" ref="P51:R51" si="47">SUM(P40,P41,P43,P45,P47:P50)</f>
        <v>15953.89929</v>
      </c>
      <c r="Q51" s="218">
        <f t="shared" si="47"/>
        <v>1509.884294</v>
      </c>
      <c r="R51" s="218">
        <f t="shared" si="47"/>
        <v>4920.278953</v>
      </c>
      <c r="S51" s="219">
        <f t="shared" si="43"/>
        <v>22384.06254</v>
      </c>
      <c r="T51" s="220" t="s">
        <v>521</v>
      </c>
      <c r="U51" s="21"/>
      <c r="V51" s="21"/>
      <c r="W51" s="21"/>
      <c r="X51" s="206"/>
      <c r="Y51" s="21"/>
    </row>
    <row r="52">
      <c r="A52" s="21"/>
      <c r="B52" s="21"/>
      <c r="E52" s="21"/>
      <c r="F52" s="21"/>
      <c r="G52" s="21"/>
      <c r="H52" s="21"/>
      <c r="I52" s="21"/>
      <c r="J52" s="21"/>
      <c r="K52" s="21"/>
      <c r="L52" s="21"/>
      <c r="M52" s="21"/>
      <c r="N52" s="19"/>
      <c r="O52" s="221" t="s">
        <v>522</v>
      </c>
      <c r="P52" s="222">
        <f t="shared" ref="P52:R52" si="48">P51-(P40+SUM(P41,P43,P45,P47:P50))</f>
        <v>0</v>
      </c>
      <c r="Q52" s="222">
        <f t="shared" si="48"/>
        <v>0</v>
      </c>
      <c r="R52" s="222">
        <f t="shared" si="48"/>
        <v>0</v>
      </c>
      <c r="S52" s="223">
        <f t="shared" si="43"/>
        <v>0</v>
      </c>
      <c r="T52" s="224" t="s">
        <v>523</v>
      </c>
      <c r="U52" s="21"/>
      <c r="V52" s="21"/>
      <c r="W52" s="21"/>
      <c r="X52" s="206"/>
      <c r="Y52" s="21"/>
    </row>
    <row r="53">
      <c r="A53" s="21"/>
      <c r="B53" s="21"/>
      <c r="E53" s="21"/>
      <c r="F53" s="21"/>
      <c r="G53" s="21"/>
      <c r="H53" s="21"/>
      <c r="I53" s="21"/>
      <c r="J53" s="21"/>
      <c r="K53" s="21"/>
      <c r="L53" s="21"/>
      <c r="M53" s="21"/>
      <c r="N53" s="19"/>
      <c r="U53" s="21"/>
      <c r="V53" s="21"/>
      <c r="W53" s="21"/>
      <c r="X53" s="206"/>
      <c r="Y53" s="21"/>
    </row>
    <row r="54">
      <c r="A54" s="21"/>
      <c r="B54" s="21"/>
      <c r="E54" s="21"/>
      <c r="F54" s="21"/>
      <c r="G54" s="21"/>
      <c r="H54" s="21"/>
      <c r="I54" s="21"/>
      <c r="J54" s="21"/>
      <c r="K54" s="21"/>
      <c r="L54" s="21"/>
      <c r="M54" s="21"/>
      <c r="N54" s="19"/>
      <c r="U54" s="21"/>
      <c r="V54" s="21"/>
      <c r="W54" s="21"/>
      <c r="X54" s="206"/>
      <c r="Y54" s="21"/>
    </row>
    <row r="55">
      <c r="A55" s="21"/>
      <c r="B55" s="21"/>
      <c r="E55" s="21"/>
      <c r="F55" s="21"/>
      <c r="G55" s="21"/>
      <c r="H55" s="21"/>
      <c r="I55" s="21"/>
      <c r="J55" s="21"/>
      <c r="K55" s="21"/>
      <c r="L55" s="21"/>
      <c r="M55" s="21"/>
      <c r="N55" s="213"/>
      <c r="O55" s="215"/>
      <c r="P55" s="215"/>
      <c r="Q55" s="215"/>
      <c r="R55" s="215"/>
      <c r="S55" s="215"/>
      <c r="T55" s="215"/>
      <c r="U55" s="215"/>
      <c r="V55" s="215"/>
      <c r="W55" s="215"/>
      <c r="X55" s="225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</row>
    <row r="56" ht="19.5" customHeight="1">
      <c r="A56" s="21"/>
      <c r="B56" s="21"/>
      <c r="E56" s="21"/>
      <c r="F56" s="21"/>
      <c r="G56" s="21"/>
      <c r="H56" s="21"/>
      <c r="I56" s="21"/>
      <c r="J56" s="21"/>
      <c r="K56" s="21"/>
      <c r="L56" s="21"/>
      <c r="M56" s="21"/>
      <c r="O56" s="21"/>
      <c r="P56" s="21"/>
      <c r="Q56" s="21"/>
      <c r="R56" s="21"/>
      <c r="S56" s="21"/>
      <c r="T56" s="21"/>
      <c r="U56" s="21"/>
      <c r="V56" s="21"/>
      <c r="W56" s="21"/>
      <c r="X56" s="22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</row>
    <row r="57" ht="19.5" customHeight="1">
      <c r="A57" s="21"/>
      <c r="B57" s="21"/>
      <c r="E57" s="21"/>
      <c r="F57" s="21"/>
      <c r="G57" s="21"/>
      <c r="H57" s="21"/>
      <c r="I57" s="21"/>
      <c r="J57" s="21"/>
      <c r="K57" s="21"/>
      <c r="L57" s="21"/>
      <c r="M57" s="21"/>
      <c r="O57" s="21"/>
      <c r="P57" s="21"/>
      <c r="Q57" s="21"/>
      <c r="R57" s="21"/>
      <c r="S57" s="21"/>
      <c r="T57" s="21"/>
      <c r="U57" s="21"/>
      <c r="V57" s="21"/>
      <c r="W57" s="21"/>
      <c r="X57" s="22"/>
      <c r="Y57" s="21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35"/>
      <c r="AP57" s="23"/>
    </row>
    <row r="58" ht="19.5" customHeight="1">
      <c r="A58" s="21"/>
      <c r="B58" s="21"/>
      <c r="E58" s="21"/>
      <c r="F58" s="21"/>
      <c r="G58" s="21"/>
      <c r="H58" s="21"/>
      <c r="I58" s="21"/>
      <c r="J58" s="21"/>
      <c r="K58" s="21"/>
      <c r="L58" s="21"/>
      <c r="M58" s="21"/>
      <c r="N58" s="35"/>
      <c r="O58" s="63"/>
      <c r="P58" s="63"/>
      <c r="Q58" s="63"/>
      <c r="R58" s="21"/>
      <c r="S58" s="21"/>
      <c r="T58" s="21"/>
      <c r="U58" s="21"/>
      <c r="V58" s="21"/>
      <c r="W58" s="21"/>
      <c r="X58" s="22"/>
      <c r="Y58" s="21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35"/>
      <c r="AP58" s="23"/>
    </row>
    <row r="59" ht="19.5" customHeight="1">
      <c r="A59" s="21"/>
      <c r="B59" s="21"/>
      <c r="E59" s="21"/>
      <c r="F59" s="21"/>
      <c r="G59" s="21"/>
      <c r="H59" s="21"/>
      <c r="I59" s="21"/>
      <c r="J59" s="21"/>
      <c r="K59" s="21"/>
      <c r="L59" s="21"/>
      <c r="M59" s="63"/>
      <c r="N59" s="35"/>
      <c r="O59" s="63"/>
      <c r="P59" s="63"/>
      <c r="Q59" s="63"/>
      <c r="R59" s="21"/>
      <c r="S59" s="21"/>
      <c r="T59" s="21"/>
      <c r="U59" s="21"/>
      <c r="V59" s="21"/>
      <c r="W59" s="21"/>
      <c r="X59" s="22"/>
      <c r="Y59" s="21"/>
      <c r="Z59" s="21"/>
      <c r="AA59" s="21"/>
      <c r="AB59" s="21"/>
      <c r="AC59" s="21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35"/>
      <c r="AP59" s="23"/>
    </row>
    <row r="60" ht="19.5" customHeight="1">
      <c r="A60" s="21"/>
      <c r="B60" s="21"/>
      <c r="E60" s="21"/>
      <c r="F60" s="21"/>
      <c r="G60" s="21"/>
      <c r="H60" s="21"/>
      <c r="I60" s="21"/>
      <c r="J60" s="21"/>
      <c r="K60" s="21"/>
      <c r="L60" s="21"/>
      <c r="M60" s="63"/>
      <c r="N60" s="35"/>
      <c r="O60" s="63"/>
      <c r="P60" s="63"/>
      <c r="Q60" s="63"/>
      <c r="R60" s="21"/>
      <c r="S60" s="21"/>
      <c r="T60" s="21"/>
      <c r="U60" s="21"/>
      <c r="V60" s="21"/>
      <c r="W60" s="21"/>
      <c r="X60" s="22"/>
      <c r="Y60" s="21"/>
      <c r="Z60" s="21"/>
      <c r="AA60" s="21"/>
      <c r="AB60" s="21"/>
      <c r="AC60" s="21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35"/>
      <c r="AP60" s="23"/>
    </row>
    <row r="61" ht="19.5" customHeight="1">
      <c r="A61" s="21"/>
      <c r="B61" s="21"/>
      <c r="E61" s="21"/>
      <c r="F61" s="21"/>
      <c r="G61" s="21"/>
      <c r="H61" s="21"/>
      <c r="I61" s="21"/>
      <c r="J61" s="21"/>
      <c r="K61" s="21"/>
      <c r="L61" s="21"/>
      <c r="M61" s="63"/>
      <c r="N61" s="35"/>
      <c r="O61" s="63"/>
      <c r="P61" s="63"/>
      <c r="Q61" s="63"/>
      <c r="R61" s="21"/>
      <c r="S61" s="21"/>
      <c r="T61" s="21"/>
      <c r="U61" s="21"/>
      <c r="V61" s="21"/>
      <c r="W61" s="21"/>
      <c r="X61" s="22"/>
      <c r="Y61" s="21"/>
      <c r="Z61" s="21"/>
      <c r="AA61" s="21"/>
      <c r="AB61" s="21"/>
      <c r="AC61" s="21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35"/>
      <c r="AP61" s="23"/>
    </row>
    <row r="62" ht="19.5" customHeight="1">
      <c r="A62" s="21"/>
      <c r="B62" s="21"/>
      <c r="E62" s="21"/>
      <c r="F62" s="21"/>
      <c r="G62" s="21"/>
      <c r="H62" s="21"/>
      <c r="I62" s="21"/>
      <c r="J62" s="21"/>
      <c r="K62" s="21"/>
      <c r="L62" s="21"/>
      <c r="M62" s="21"/>
      <c r="O62" s="21"/>
      <c r="P62" s="21"/>
      <c r="Q62" s="21"/>
      <c r="R62" s="21"/>
      <c r="S62" s="21"/>
      <c r="T62" s="21"/>
      <c r="U62" s="21"/>
      <c r="V62" s="21"/>
      <c r="W62" s="21"/>
      <c r="X62" s="22"/>
      <c r="Y62" s="21"/>
      <c r="Z62" s="21"/>
      <c r="AA62" s="21"/>
      <c r="AB62" s="21"/>
      <c r="AC62" s="21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35"/>
      <c r="AP62" s="23"/>
    </row>
    <row r="63" ht="19.5" customHeight="1">
      <c r="A63" s="21"/>
      <c r="B63" s="21"/>
      <c r="C63" s="35"/>
      <c r="D63" s="35"/>
      <c r="E63" s="226"/>
      <c r="F63" s="226"/>
      <c r="G63" s="226"/>
      <c r="H63" s="226"/>
      <c r="I63" s="226"/>
      <c r="J63" s="226"/>
      <c r="K63" s="226"/>
      <c r="L63" s="226"/>
      <c r="M63" s="226"/>
      <c r="O63" s="21"/>
      <c r="P63" s="21"/>
      <c r="Q63" s="21"/>
      <c r="R63" s="21"/>
      <c r="S63" s="21"/>
      <c r="T63" s="21"/>
      <c r="U63" s="21"/>
      <c r="V63" s="21"/>
      <c r="W63" s="21"/>
      <c r="X63" s="22"/>
      <c r="Y63" s="21"/>
      <c r="Z63" s="21"/>
      <c r="AA63" s="21"/>
      <c r="AB63" s="21"/>
      <c r="AC63" s="21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35"/>
      <c r="AP63" s="23"/>
    </row>
    <row r="64" ht="19.5" customHeight="1">
      <c r="A64" s="21"/>
      <c r="B64" s="21"/>
      <c r="C64" s="35"/>
      <c r="D64" s="35"/>
      <c r="E64" s="226"/>
      <c r="F64" s="227"/>
      <c r="G64" s="226"/>
      <c r="H64" s="226"/>
      <c r="I64" s="226"/>
      <c r="J64" s="226"/>
      <c r="K64" s="226"/>
      <c r="L64" s="226"/>
      <c r="M64" s="226"/>
      <c r="O64" s="21"/>
      <c r="P64" s="21"/>
      <c r="Q64" s="21"/>
      <c r="R64" s="21"/>
      <c r="S64" s="21"/>
      <c r="T64" s="21"/>
      <c r="U64" s="21"/>
      <c r="V64" s="21"/>
      <c r="W64" s="21"/>
      <c r="X64" s="22"/>
      <c r="Y64" s="21"/>
      <c r="Z64" s="21"/>
      <c r="AA64" s="21"/>
      <c r="AB64" s="21"/>
      <c r="AC64" s="21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35"/>
      <c r="AP64" s="23"/>
    </row>
    <row r="65" ht="19.5" customHeight="1">
      <c r="A65" s="21"/>
      <c r="B65" s="21"/>
      <c r="C65" s="35"/>
      <c r="D65" s="35"/>
      <c r="E65" s="226"/>
      <c r="F65" s="228"/>
      <c r="G65" s="226"/>
      <c r="H65" s="226"/>
      <c r="I65" s="226"/>
      <c r="J65" s="226"/>
      <c r="K65" s="226"/>
      <c r="L65" s="226"/>
      <c r="M65" s="226"/>
      <c r="O65" s="21"/>
      <c r="P65" s="21"/>
      <c r="Q65" s="21"/>
      <c r="R65" s="21"/>
      <c r="S65" s="21"/>
      <c r="T65" s="21"/>
      <c r="U65" s="21"/>
      <c r="V65" s="21"/>
      <c r="W65" s="21"/>
      <c r="X65" s="22"/>
      <c r="Y65" s="21"/>
      <c r="Z65" s="21"/>
      <c r="AA65" s="21"/>
      <c r="AB65" s="21"/>
      <c r="AC65" s="21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35"/>
      <c r="AP65" s="23"/>
    </row>
    <row r="66" ht="19.5" customHeight="1">
      <c r="A66" s="21"/>
      <c r="B66" s="21"/>
      <c r="C66" s="35"/>
      <c r="D66" s="35"/>
      <c r="E66" s="226"/>
      <c r="F66" s="227"/>
      <c r="G66" s="226"/>
      <c r="H66" s="226"/>
      <c r="I66" s="226"/>
      <c r="J66" s="226"/>
      <c r="K66" s="226"/>
      <c r="L66" s="226"/>
      <c r="M66" s="226"/>
      <c r="O66" s="21"/>
      <c r="P66" s="21"/>
      <c r="Q66" s="21"/>
      <c r="R66" s="21"/>
      <c r="S66" s="21"/>
      <c r="T66" s="21"/>
      <c r="U66" s="21"/>
      <c r="V66" s="21"/>
      <c r="W66" s="21"/>
      <c r="X66" s="22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</row>
    <row r="67" ht="19.5" customHeight="1">
      <c r="A67" s="21"/>
      <c r="B67" s="21"/>
      <c r="C67" s="35"/>
      <c r="D67" s="35"/>
      <c r="E67" s="226"/>
      <c r="F67" s="228"/>
      <c r="G67" s="226"/>
      <c r="H67" s="226"/>
      <c r="I67" s="226"/>
      <c r="J67" s="226"/>
      <c r="K67" s="226"/>
      <c r="L67" s="226"/>
      <c r="M67" s="226"/>
      <c r="O67" s="21"/>
      <c r="P67" s="21"/>
      <c r="Q67" s="21"/>
      <c r="R67" s="21"/>
      <c r="S67" s="21"/>
      <c r="T67" s="21"/>
      <c r="U67" s="21"/>
      <c r="V67" s="21"/>
      <c r="W67" s="21"/>
      <c r="X67" s="22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</row>
    <row r="68" ht="19.5" customHeight="1">
      <c r="A68" s="21"/>
      <c r="B68" s="21"/>
      <c r="C68" s="35"/>
      <c r="D68" s="35"/>
      <c r="E68" s="226"/>
      <c r="F68" s="226"/>
      <c r="G68" s="226"/>
      <c r="H68" s="226"/>
      <c r="I68" s="226"/>
      <c r="J68" s="226"/>
      <c r="K68" s="226"/>
      <c r="L68" s="226"/>
      <c r="M68" s="226"/>
      <c r="O68" s="21"/>
      <c r="P68" s="21"/>
      <c r="Q68" s="21"/>
      <c r="R68" s="21"/>
      <c r="S68" s="21"/>
      <c r="T68" s="21"/>
      <c r="U68" s="21"/>
      <c r="V68" s="21"/>
      <c r="W68" s="21"/>
      <c r="X68" s="22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</row>
    <row r="69" ht="19.5" customHeight="1">
      <c r="A69" s="21"/>
      <c r="B69" s="21"/>
      <c r="C69" s="35"/>
      <c r="D69" s="35"/>
      <c r="E69" s="226"/>
      <c r="F69" s="226"/>
      <c r="G69" s="226"/>
      <c r="H69" s="226"/>
      <c r="I69" s="226"/>
      <c r="J69" s="226"/>
      <c r="K69" s="226"/>
      <c r="L69" s="226"/>
      <c r="M69" s="226"/>
      <c r="O69" s="21"/>
      <c r="P69" s="21"/>
      <c r="Q69" s="21"/>
      <c r="R69" s="21"/>
      <c r="S69" s="21"/>
      <c r="T69" s="21"/>
      <c r="U69" s="21"/>
      <c r="V69" s="21"/>
      <c r="W69" s="21"/>
      <c r="X69" s="22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</row>
    <row r="70" ht="19.5" customHeight="1">
      <c r="A70" s="21"/>
      <c r="B70" s="21"/>
      <c r="C70" s="35"/>
      <c r="D70" s="35"/>
      <c r="E70" s="226"/>
      <c r="F70" s="226"/>
      <c r="G70" s="226"/>
      <c r="H70" s="226"/>
      <c r="I70" s="226"/>
      <c r="J70" s="226"/>
      <c r="K70" s="226"/>
      <c r="L70" s="226"/>
      <c r="M70" s="226"/>
      <c r="O70" s="21"/>
      <c r="P70" s="21"/>
      <c r="Q70" s="21"/>
      <c r="R70" s="21"/>
      <c r="S70" s="21"/>
      <c r="T70" s="21"/>
      <c r="U70" s="21"/>
      <c r="V70" s="21"/>
      <c r="W70" s="21"/>
      <c r="X70" s="22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</row>
    <row r="71" ht="19.5" customHeight="1">
      <c r="A71" s="21"/>
      <c r="B71" s="21"/>
      <c r="C71" s="35"/>
      <c r="D71" s="35"/>
      <c r="E71" s="226"/>
      <c r="F71" s="226"/>
      <c r="G71" s="226"/>
      <c r="H71" s="226"/>
      <c r="I71" s="226"/>
      <c r="J71" s="226"/>
      <c r="K71" s="226"/>
      <c r="L71" s="226"/>
      <c r="M71" s="226"/>
      <c r="O71" s="21"/>
      <c r="P71" s="21"/>
      <c r="Q71" s="21"/>
      <c r="R71" s="21"/>
      <c r="S71" s="21"/>
      <c r="T71" s="21"/>
      <c r="U71" s="21"/>
      <c r="V71" s="21"/>
      <c r="W71" s="21"/>
      <c r="X71" s="22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</row>
    <row r="72" ht="19.5" customHeight="1">
      <c r="A72" s="21"/>
      <c r="B72" s="21"/>
      <c r="C72" s="35"/>
      <c r="D72" s="35"/>
      <c r="E72" s="226"/>
      <c r="F72" s="226"/>
      <c r="G72" s="226"/>
      <c r="H72" s="226"/>
      <c r="I72" s="226"/>
      <c r="J72" s="226"/>
      <c r="K72" s="226"/>
      <c r="L72" s="226"/>
      <c r="M72" s="226"/>
      <c r="O72" s="21"/>
      <c r="P72" s="21"/>
      <c r="Q72" s="21"/>
      <c r="R72" s="21"/>
      <c r="S72" s="21"/>
      <c r="T72" s="21"/>
      <c r="U72" s="21"/>
      <c r="V72" s="21"/>
      <c r="W72" s="21"/>
      <c r="X72" s="22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</row>
    <row r="73" ht="19.5" customHeight="1">
      <c r="A73" s="21"/>
      <c r="B73" s="21"/>
      <c r="C73" s="35"/>
      <c r="D73" s="35"/>
      <c r="E73" s="226"/>
      <c r="F73" s="229"/>
      <c r="G73" s="228"/>
      <c r="H73" s="228"/>
      <c r="I73" s="228"/>
      <c r="J73" s="228"/>
      <c r="K73" s="228"/>
      <c r="L73" s="228"/>
      <c r="M73" s="226"/>
      <c r="O73" s="21"/>
      <c r="P73" s="21"/>
      <c r="Q73" s="21"/>
      <c r="R73" s="21"/>
      <c r="S73" s="21"/>
      <c r="T73" s="21"/>
      <c r="U73" s="21"/>
      <c r="V73" s="21"/>
      <c r="W73" s="21"/>
      <c r="X73" s="22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</row>
    <row r="74" ht="19.5" customHeight="1">
      <c r="A74" s="21"/>
      <c r="B74" s="21"/>
      <c r="C74" s="35"/>
      <c r="D74" s="35"/>
      <c r="E74" s="226"/>
      <c r="F74" s="226"/>
      <c r="G74" s="228"/>
      <c r="H74" s="228"/>
      <c r="I74" s="228"/>
      <c r="J74" s="228"/>
      <c r="K74" s="228"/>
      <c r="L74" s="228"/>
      <c r="M74" s="226"/>
      <c r="O74" s="21"/>
      <c r="P74" s="21"/>
      <c r="Q74" s="21"/>
      <c r="R74" s="21"/>
      <c r="S74" s="21"/>
      <c r="T74" s="21"/>
      <c r="U74" s="21"/>
      <c r="V74" s="21"/>
      <c r="W74" s="21"/>
      <c r="X74" s="22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</row>
    <row r="75" ht="19.5" customHeight="1">
      <c r="A75" s="21"/>
      <c r="B75" s="21"/>
      <c r="C75" s="35"/>
      <c r="D75" s="35"/>
      <c r="E75" s="226"/>
      <c r="F75" s="229"/>
      <c r="G75" s="228"/>
      <c r="H75" s="228"/>
      <c r="I75" s="228"/>
      <c r="J75" s="228"/>
      <c r="K75" s="228"/>
      <c r="L75" s="228"/>
      <c r="M75" s="226"/>
      <c r="O75" s="21"/>
      <c r="P75" s="21"/>
      <c r="Q75" s="21"/>
      <c r="R75" s="21"/>
      <c r="S75" s="21"/>
      <c r="T75" s="21"/>
      <c r="U75" s="21"/>
      <c r="V75" s="21"/>
      <c r="W75" s="21"/>
      <c r="X75" s="22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</row>
    <row r="76" ht="19.5" customHeight="1">
      <c r="A76" s="21"/>
      <c r="B76" s="21"/>
      <c r="C76" s="35"/>
      <c r="D76" s="35"/>
      <c r="E76" s="226"/>
      <c r="F76" s="229"/>
      <c r="G76" s="226"/>
      <c r="H76" s="228"/>
      <c r="I76" s="228"/>
      <c r="J76" s="228"/>
      <c r="K76" s="228"/>
      <c r="L76" s="228"/>
      <c r="M76" s="226"/>
      <c r="O76" s="21"/>
      <c r="P76" s="21"/>
      <c r="Q76" s="21"/>
      <c r="R76" s="21"/>
      <c r="S76" s="21"/>
      <c r="T76" s="21"/>
      <c r="U76" s="21"/>
      <c r="V76" s="21"/>
      <c r="W76" s="21"/>
      <c r="X76" s="22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</row>
    <row r="77" ht="19.5" customHeight="1">
      <c r="A77" s="21"/>
      <c r="B77" s="21"/>
      <c r="C77" s="35"/>
      <c r="D77" s="35"/>
      <c r="E77" s="63"/>
      <c r="F77" s="63"/>
      <c r="G77" s="63"/>
      <c r="H77" s="63"/>
      <c r="I77" s="63"/>
      <c r="J77" s="63"/>
      <c r="K77" s="63"/>
      <c r="L77" s="63"/>
      <c r="M77" s="63"/>
      <c r="O77" s="21"/>
      <c r="P77" s="21"/>
      <c r="Q77" s="21"/>
      <c r="R77" s="21"/>
      <c r="S77" s="21"/>
      <c r="T77" s="21"/>
      <c r="U77" s="21"/>
      <c r="V77" s="21"/>
      <c r="W77" s="21"/>
      <c r="X77" s="22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</row>
    <row r="78" ht="19.5" customHeight="1">
      <c r="A78" s="21"/>
      <c r="B78" s="21"/>
      <c r="C78" s="35"/>
      <c r="D78" s="35"/>
      <c r="E78" s="63"/>
      <c r="F78" s="63"/>
      <c r="G78" s="63"/>
      <c r="H78" s="63"/>
      <c r="I78" s="63"/>
      <c r="J78" s="63"/>
      <c r="K78" s="63"/>
      <c r="L78" s="63"/>
      <c r="M78" s="63"/>
      <c r="O78" s="21"/>
      <c r="P78" s="21"/>
      <c r="Q78" s="21"/>
      <c r="R78" s="21"/>
      <c r="S78" s="21"/>
      <c r="T78" s="21"/>
      <c r="U78" s="21"/>
      <c r="V78" s="21"/>
      <c r="W78" s="21"/>
      <c r="X78" s="22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</row>
    <row r="79" ht="19.5" customHeight="1">
      <c r="A79" s="21"/>
      <c r="B79" s="21"/>
      <c r="C79" s="35"/>
      <c r="D79" s="35"/>
      <c r="E79" s="63"/>
      <c r="F79" s="59"/>
      <c r="G79" s="63"/>
      <c r="H79" s="63"/>
      <c r="I79" s="63"/>
      <c r="J79" s="63"/>
      <c r="K79" s="63"/>
      <c r="L79" s="63"/>
      <c r="M79" s="63"/>
      <c r="O79" s="21"/>
      <c r="P79" s="21"/>
      <c r="Q79" s="21"/>
      <c r="R79" s="21"/>
      <c r="S79" s="21"/>
      <c r="T79" s="21"/>
      <c r="U79" s="21"/>
      <c r="V79" s="21"/>
      <c r="W79" s="21"/>
      <c r="X79" s="22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</row>
    <row r="80" ht="19.5" customHeight="1">
      <c r="A80" s="21"/>
      <c r="B80" s="21"/>
      <c r="C80" s="35"/>
      <c r="D80" s="35"/>
      <c r="E80" s="63"/>
      <c r="F80" s="59"/>
      <c r="G80" s="63"/>
      <c r="H80" s="63"/>
      <c r="I80" s="63"/>
      <c r="J80" s="63"/>
      <c r="K80" s="63"/>
      <c r="L80" s="63"/>
      <c r="M80" s="63"/>
      <c r="O80" s="21"/>
      <c r="P80" s="21"/>
      <c r="Q80" s="21"/>
      <c r="R80" s="21"/>
      <c r="S80" s="21"/>
      <c r="T80" s="21"/>
      <c r="U80" s="21"/>
      <c r="V80" s="21"/>
      <c r="W80" s="21"/>
      <c r="X80" s="22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</row>
    <row r="81" ht="19.5" customHeight="1">
      <c r="A81" s="21"/>
      <c r="B81" s="21"/>
      <c r="C81" s="35"/>
      <c r="D81" s="35"/>
      <c r="E81" s="63"/>
      <c r="F81" s="59"/>
      <c r="G81" s="63"/>
      <c r="H81" s="63"/>
      <c r="I81" s="63"/>
      <c r="J81" s="63"/>
      <c r="K81" s="63"/>
      <c r="L81" s="63"/>
      <c r="M81" s="63"/>
      <c r="O81" s="21"/>
      <c r="P81" s="21"/>
      <c r="Q81" s="21"/>
      <c r="R81" s="21"/>
      <c r="S81" s="21"/>
      <c r="T81" s="21"/>
      <c r="U81" s="21"/>
      <c r="V81" s="21"/>
      <c r="W81" s="21"/>
      <c r="X81" s="22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</row>
    <row r="82" ht="19.5" customHeight="1">
      <c r="A82" s="21"/>
      <c r="B82" s="21"/>
      <c r="C82" s="35"/>
      <c r="D82" s="35"/>
      <c r="E82" s="63"/>
      <c r="F82" s="108"/>
      <c r="G82" s="63"/>
      <c r="H82" s="63"/>
      <c r="I82" s="63"/>
      <c r="J82" s="63"/>
      <c r="K82" s="63"/>
      <c r="L82" s="63"/>
      <c r="M82" s="63"/>
      <c r="O82" s="21"/>
      <c r="P82" s="21"/>
      <c r="Q82" s="21"/>
      <c r="R82" s="21"/>
      <c r="S82" s="21"/>
      <c r="T82" s="21"/>
      <c r="U82" s="21"/>
      <c r="V82" s="21"/>
      <c r="W82" s="21"/>
      <c r="X82" s="22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</row>
    <row r="83" ht="19.5" customHeight="1">
      <c r="A83" s="21"/>
      <c r="B83" s="21"/>
      <c r="C83" s="35"/>
      <c r="D83" s="35"/>
      <c r="E83" s="63"/>
      <c r="F83" s="59"/>
      <c r="G83" s="63"/>
      <c r="H83" s="63"/>
      <c r="I83" s="63"/>
      <c r="J83" s="63"/>
      <c r="K83" s="63"/>
      <c r="L83" s="63"/>
      <c r="M83" s="63"/>
      <c r="O83" s="21"/>
      <c r="P83" s="21"/>
      <c r="Q83" s="21"/>
      <c r="R83" s="21"/>
      <c r="S83" s="21"/>
      <c r="T83" s="21"/>
      <c r="U83" s="21"/>
      <c r="V83" s="21"/>
      <c r="W83" s="21"/>
      <c r="X83" s="22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</row>
    <row r="84" ht="19.5" customHeight="1">
      <c r="A84" s="21"/>
      <c r="B84" s="21"/>
      <c r="C84" s="35"/>
      <c r="D84" s="35"/>
      <c r="E84" s="63"/>
      <c r="F84" s="108"/>
      <c r="G84" s="63"/>
      <c r="H84" s="63"/>
      <c r="I84" s="63"/>
      <c r="J84" s="63"/>
      <c r="K84" s="63"/>
      <c r="L84" s="63"/>
      <c r="M84" s="63"/>
      <c r="O84" s="21"/>
      <c r="P84" s="21"/>
      <c r="Q84" s="21"/>
      <c r="R84" s="21"/>
      <c r="S84" s="21"/>
      <c r="T84" s="21"/>
      <c r="U84" s="21"/>
      <c r="V84" s="21"/>
      <c r="W84" s="21"/>
      <c r="X84" s="22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</row>
    <row r="85" ht="19.5" customHeight="1">
      <c r="A85" s="21"/>
      <c r="B85" s="21"/>
      <c r="C85" s="35"/>
      <c r="D85" s="35"/>
      <c r="E85" s="63"/>
      <c r="F85" s="59"/>
      <c r="G85" s="63"/>
      <c r="H85" s="63"/>
      <c r="I85" s="63"/>
      <c r="J85" s="63"/>
      <c r="K85" s="63"/>
      <c r="L85" s="63"/>
      <c r="M85" s="63"/>
      <c r="O85" s="21"/>
      <c r="P85" s="21"/>
      <c r="Q85" s="21"/>
      <c r="R85" s="21"/>
      <c r="S85" s="21"/>
      <c r="T85" s="21"/>
      <c r="U85" s="21"/>
      <c r="V85" s="21"/>
      <c r="W85" s="21"/>
      <c r="X85" s="22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</row>
    <row r="86" ht="19.5" customHeight="1">
      <c r="A86" s="21"/>
      <c r="B86" s="21"/>
      <c r="C86" s="35"/>
      <c r="D86" s="35"/>
      <c r="E86" s="63"/>
      <c r="F86" s="63"/>
      <c r="G86" s="63"/>
      <c r="H86" s="63"/>
      <c r="I86" s="63"/>
      <c r="J86" s="63"/>
      <c r="K86" s="63"/>
      <c r="L86" s="63"/>
      <c r="M86" s="63"/>
      <c r="O86" s="21"/>
      <c r="P86" s="21"/>
      <c r="Q86" s="21"/>
      <c r="R86" s="21"/>
      <c r="S86" s="21"/>
      <c r="T86" s="21"/>
      <c r="U86" s="21"/>
      <c r="V86" s="21"/>
      <c r="W86" s="21"/>
      <c r="X86" s="22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</row>
    <row r="87" ht="19.5" customHeight="1">
      <c r="A87" s="21"/>
      <c r="B87" s="21"/>
      <c r="C87" s="35"/>
      <c r="D87" s="35"/>
      <c r="E87" s="63"/>
      <c r="O87" s="21"/>
      <c r="P87" s="21"/>
      <c r="Q87" s="21"/>
      <c r="R87" s="21"/>
      <c r="S87" s="21"/>
      <c r="T87" s="21"/>
      <c r="U87" s="21"/>
      <c r="V87" s="21"/>
      <c r="W87" s="21"/>
      <c r="X87" s="22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</row>
    <row r="88" ht="19.5" customHeight="1">
      <c r="A88" s="21"/>
      <c r="B88" s="21"/>
      <c r="C88" s="35"/>
      <c r="D88" s="35"/>
      <c r="E88" s="63"/>
      <c r="O88" s="21"/>
      <c r="P88" s="21"/>
      <c r="Q88" s="21"/>
      <c r="R88" s="21"/>
      <c r="S88" s="21"/>
      <c r="T88" s="21"/>
      <c r="U88" s="21"/>
      <c r="V88" s="21"/>
      <c r="W88" s="21"/>
      <c r="X88" s="22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</row>
    <row r="89" ht="19.5" customHeight="1">
      <c r="A89" s="21"/>
      <c r="B89" s="21"/>
      <c r="C89" s="35"/>
      <c r="D89" s="35"/>
      <c r="E89" s="63"/>
      <c r="O89" s="21"/>
      <c r="P89" s="21"/>
      <c r="Q89" s="21"/>
      <c r="R89" s="21"/>
      <c r="S89" s="21"/>
      <c r="T89" s="21"/>
      <c r="U89" s="21"/>
      <c r="V89" s="21"/>
      <c r="W89" s="21"/>
      <c r="X89" s="22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</row>
    <row r="90" ht="19.5" customHeight="1">
      <c r="A90" s="21"/>
      <c r="B90" s="21"/>
      <c r="C90" s="35"/>
      <c r="D90" s="35"/>
      <c r="E90" s="63"/>
      <c r="O90" s="21"/>
      <c r="P90" s="21"/>
      <c r="Q90" s="21"/>
      <c r="R90" s="21"/>
      <c r="S90" s="21"/>
      <c r="T90" s="21"/>
      <c r="U90" s="21"/>
      <c r="V90" s="21"/>
      <c r="W90" s="21"/>
      <c r="X90" s="22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</row>
    <row r="91" ht="19.5" customHeight="1">
      <c r="A91" s="21"/>
      <c r="B91" s="21"/>
      <c r="C91" s="35"/>
      <c r="D91" s="35"/>
      <c r="E91" s="63"/>
      <c r="O91" s="21"/>
      <c r="P91" s="21"/>
      <c r="Q91" s="21"/>
      <c r="R91" s="21"/>
      <c r="S91" s="21"/>
      <c r="T91" s="21"/>
      <c r="U91" s="21"/>
      <c r="V91" s="21"/>
      <c r="W91" s="21"/>
      <c r="X91" s="22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</row>
    <row r="92" ht="19.5" customHeight="1">
      <c r="A92" s="21"/>
      <c r="B92" s="21"/>
      <c r="E92" s="21"/>
      <c r="F92" s="21"/>
      <c r="G92" s="21"/>
      <c r="H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2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</row>
    <row r="93" ht="19.5" customHeight="1">
      <c r="A93" s="21"/>
      <c r="B93" s="21"/>
      <c r="E93" s="21"/>
      <c r="F93" s="21"/>
      <c r="G93" s="21"/>
      <c r="H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2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</row>
    <row r="94" ht="19.5" customHeight="1">
      <c r="A94" s="21"/>
      <c r="B94" s="21"/>
      <c r="E94" s="21"/>
      <c r="F94" s="21"/>
      <c r="G94" s="21"/>
      <c r="H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2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</row>
    <row r="95" ht="19.5" customHeight="1">
      <c r="A95" s="21"/>
      <c r="B95" s="21"/>
      <c r="E95" s="21"/>
      <c r="F95" s="21"/>
      <c r="G95" s="21"/>
      <c r="H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2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</row>
    <row r="96" ht="19.5" customHeight="1">
      <c r="A96" s="21"/>
      <c r="B96" s="21"/>
      <c r="E96" s="21"/>
      <c r="F96" s="21"/>
      <c r="G96" s="21"/>
      <c r="H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2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</row>
    <row r="97" ht="19.5" customHeight="1">
      <c r="A97" s="21"/>
      <c r="B97" s="21"/>
      <c r="E97" s="21"/>
      <c r="F97" s="21"/>
      <c r="G97" s="21"/>
      <c r="H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2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</row>
    <row r="98" ht="19.5" customHeight="1">
      <c r="A98" s="21"/>
      <c r="B98" s="21"/>
      <c r="E98" s="21"/>
      <c r="F98" s="21"/>
      <c r="G98" s="21"/>
      <c r="H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2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</row>
    <row r="99" ht="19.5" customHeight="1">
      <c r="A99" s="21"/>
      <c r="B99" s="21"/>
      <c r="E99" s="21"/>
      <c r="F99" s="21"/>
      <c r="G99" s="21"/>
      <c r="H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2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</row>
    <row r="100" ht="19.5" customHeight="1">
      <c r="A100" s="21"/>
      <c r="B100" s="21"/>
      <c r="E100" s="21"/>
      <c r="F100" s="21"/>
      <c r="G100" s="21"/>
      <c r="H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2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</row>
    <row r="101" ht="19.5" customHeight="1">
      <c r="A101" s="21"/>
      <c r="B101" s="21"/>
      <c r="E101" s="21"/>
      <c r="F101" s="21"/>
      <c r="G101" s="21"/>
      <c r="H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2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</row>
    <row r="102" ht="19.5" customHeight="1">
      <c r="A102" s="21"/>
      <c r="B102" s="21"/>
      <c r="E102" s="21"/>
      <c r="F102" s="21"/>
      <c r="G102" s="21"/>
      <c r="H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2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</row>
    <row r="103" ht="19.5" customHeight="1">
      <c r="A103" s="21"/>
      <c r="B103" s="21"/>
      <c r="E103" s="21"/>
      <c r="F103" s="21"/>
      <c r="G103" s="21"/>
      <c r="H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2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</row>
    <row r="104" ht="19.5" customHeight="1">
      <c r="A104" s="21"/>
      <c r="B104" s="21"/>
      <c r="E104" s="21"/>
      <c r="F104" s="21"/>
      <c r="G104" s="21"/>
      <c r="H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2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</row>
    <row r="105" ht="19.5" customHeight="1">
      <c r="A105" s="21"/>
      <c r="B105" s="21"/>
      <c r="E105" s="21"/>
      <c r="F105" s="21"/>
      <c r="G105" s="21"/>
      <c r="H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2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</row>
    <row r="106" ht="19.5" customHeight="1">
      <c r="A106" s="21"/>
      <c r="B106" s="21"/>
      <c r="E106" s="21"/>
      <c r="F106" s="21"/>
      <c r="G106" s="21"/>
      <c r="H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2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</row>
    <row r="107" ht="19.5" customHeight="1">
      <c r="A107" s="21"/>
      <c r="B107" s="21"/>
      <c r="E107" s="21"/>
      <c r="F107" s="21"/>
      <c r="G107" s="21"/>
      <c r="H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2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</row>
    <row r="108" ht="19.5" customHeight="1">
      <c r="A108" s="21"/>
      <c r="B108" s="21"/>
      <c r="E108" s="21"/>
      <c r="F108" s="21"/>
      <c r="G108" s="21"/>
      <c r="H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2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</row>
    <row r="109" ht="19.5" customHeight="1">
      <c r="A109" s="21"/>
      <c r="B109" s="21"/>
      <c r="E109" s="21"/>
      <c r="F109" s="21"/>
      <c r="G109" s="21"/>
      <c r="H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2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</row>
    <row r="110" ht="19.5" customHeight="1">
      <c r="A110" s="21"/>
      <c r="B110" s="21"/>
      <c r="E110" s="21"/>
      <c r="F110" s="21"/>
      <c r="G110" s="21"/>
      <c r="H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2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</row>
    <row r="111" ht="19.5" customHeight="1">
      <c r="A111" s="21"/>
      <c r="B111" s="21"/>
      <c r="E111" s="21"/>
      <c r="F111" s="21"/>
      <c r="G111" s="21"/>
      <c r="H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2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</row>
    <row r="112" ht="19.5" customHeight="1">
      <c r="A112" s="21"/>
      <c r="B112" s="21"/>
      <c r="E112" s="21"/>
      <c r="F112" s="21"/>
      <c r="G112" s="21"/>
      <c r="H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2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</row>
    <row r="113" ht="19.5" customHeight="1">
      <c r="A113" s="21"/>
      <c r="B113" s="21"/>
      <c r="E113" s="21"/>
      <c r="F113" s="21"/>
      <c r="G113" s="21"/>
      <c r="H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2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</row>
    <row r="114" ht="19.5" customHeight="1">
      <c r="A114" s="21"/>
      <c r="B114" s="21"/>
      <c r="E114" s="21"/>
      <c r="F114" s="21"/>
      <c r="G114" s="21"/>
      <c r="H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2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</row>
    <row r="115" ht="19.5" customHeight="1">
      <c r="A115" s="21"/>
      <c r="B115" s="21"/>
      <c r="E115" s="21"/>
      <c r="F115" s="21"/>
      <c r="G115" s="21"/>
      <c r="H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2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</row>
    <row r="116" ht="19.5" customHeight="1">
      <c r="A116" s="21"/>
      <c r="B116" s="21"/>
      <c r="E116" s="21"/>
      <c r="F116" s="21"/>
      <c r="G116" s="21"/>
      <c r="H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2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</row>
    <row r="117" ht="19.5" customHeight="1">
      <c r="A117" s="21"/>
      <c r="B117" s="21"/>
      <c r="E117" s="21"/>
      <c r="F117" s="21"/>
      <c r="G117" s="21"/>
      <c r="H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2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</row>
    <row r="118" ht="19.5" customHeight="1">
      <c r="A118" s="21"/>
      <c r="B118" s="21"/>
      <c r="E118" s="21"/>
      <c r="F118" s="21"/>
      <c r="G118" s="21"/>
      <c r="H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2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</row>
    <row r="119" ht="19.5" customHeight="1">
      <c r="A119" s="21"/>
      <c r="B119" s="21"/>
      <c r="E119" s="21"/>
      <c r="F119" s="21"/>
      <c r="G119" s="21"/>
      <c r="H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2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</row>
    <row r="120" ht="19.5" customHeight="1">
      <c r="A120" s="21"/>
      <c r="B120" s="21"/>
      <c r="E120" s="21"/>
      <c r="F120" s="21"/>
      <c r="G120" s="21"/>
      <c r="H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2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</row>
    <row r="121" ht="19.5" customHeight="1">
      <c r="A121" s="21"/>
      <c r="B121" s="21"/>
      <c r="E121" s="21"/>
      <c r="F121" s="21"/>
      <c r="G121" s="21"/>
      <c r="H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2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</row>
    <row r="122" ht="19.5" customHeight="1">
      <c r="A122" s="21"/>
      <c r="B122" s="21"/>
      <c r="E122" s="21"/>
      <c r="F122" s="21"/>
      <c r="G122" s="21"/>
      <c r="H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2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</row>
    <row r="123" ht="19.5" customHeight="1">
      <c r="A123" s="21"/>
      <c r="B123" s="21"/>
      <c r="E123" s="21"/>
      <c r="F123" s="21"/>
      <c r="G123" s="21"/>
      <c r="H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2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</row>
    <row r="124" ht="19.5" customHeight="1">
      <c r="A124" s="21"/>
      <c r="B124" s="21"/>
      <c r="E124" s="21"/>
      <c r="F124" s="21"/>
      <c r="G124" s="21"/>
      <c r="H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2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</row>
    <row r="125" ht="19.5" customHeight="1">
      <c r="A125" s="21"/>
      <c r="B125" s="21"/>
      <c r="E125" s="21"/>
      <c r="F125" s="21"/>
      <c r="G125" s="21"/>
      <c r="H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2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</row>
    <row r="126" ht="19.5" customHeight="1">
      <c r="A126" s="21"/>
      <c r="B126" s="21"/>
      <c r="E126" s="21"/>
      <c r="F126" s="21"/>
      <c r="G126" s="21"/>
      <c r="H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2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</row>
    <row r="127" ht="19.5" customHeight="1">
      <c r="A127" s="21"/>
      <c r="B127" s="21"/>
      <c r="E127" s="21"/>
      <c r="F127" s="21"/>
      <c r="G127" s="21"/>
      <c r="H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2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</row>
    <row r="128" ht="19.5" customHeight="1">
      <c r="A128" s="21"/>
      <c r="B128" s="21"/>
      <c r="E128" s="21"/>
      <c r="F128" s="21"/>
      <c r="G128" s="21"/>
      <c r="H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2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</row>
    <row r="129" ht="19.5" customHeight="1">
      <c r="A129" s="21"/>
      <c r="B129" s="21"/>
      <c r="E129" s="21"/>
      <c r="F129" s="21"/>
      <c r="G129" s="21"/>
      <c r="H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2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</row>
    <row r="130" ht="19.5" customHeight="1">
      <c r="A130" s="21"/>
      <c r="B130" s="21"/>
      <c r="E130" s="21"/>
      <c r="F130" s="21"/>
      <c r="G130" s="21"/>
      <c r="H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2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</row>
    <row r="131" ht="19.5" customHeight="1">
      <c r="A131" s="21"/>
      <c r="B131" s="21"/>
      <c r="E131" s="21"/>
      <c r="F131" s="21"/>
      <c r="G131" s="21"/>
      <c r="H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2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</row>
    <row r="132" ht="19.5" customHeight="1">
      <c r="A132" s="21"/>
      <c r="B132" s="21"/>
      <c r="E132" s="21"/>
      <c r="F132" s="21"/>
      <c r="G132" s="21"/>
      <c r="H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2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</row>
    <row r="133" ht="19.5" customHeight="1">
      <c r="A133" s="21"/>
      <c r="B133" s="21"/>
      <c r="E133" s="21"/>
      <c r="F133" s="21"/>
      <c r="G133" s="21"/>
      <c r="H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2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</row>
    <row r="134" ht="19.5" customHeight="1">
      <c r="A134" s="21"/>
      <c r="B134" s="21"/>
      <c r="E134" s="21"/>
      <c r="F134" s="21"/>
      <c r="G134" s="21"/>
      <c r="H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2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</row>
    <row r="135" ht="19.5" customHeight="1">
      <c r="A135" s="21"/>
      <c r="B135" s="21"/>
      <c r="E135" s="21"/>
      <c r="F135" s="21"/>
      <c r="G135" s="21"/>
      <c r="H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2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</row>
    <row r="136" ht="19.5" customHeight="1">
      <c r="A136" s="21"/>
      <c r="B136" s="21"/>
      <c r="E136" s="21"/>
      <c r="F136" s="21"/>
      <c r="G136" s="21"/>
      <c r="H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2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</row>
    <row r="137" ht="19.5" customHeight="1">
      <c r="A137" s="21"/>
      <c r="B137" s="21"/>
      <c r="E137" s="21"/>
      <c r="F137" s="21"/>
      <c r="G137" s="21"/>
      <c r="H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2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</row>
    <row r="138" ht="19.5" customHeight="1">
      <c r="A138" s="21"/>
      <c r="B138" s="21"/>
      <c r="E138" s="21"/>
      <c r="F138" s="21"/>
      <c r="G138" s="21"/>
      <c r="H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2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</row>
    <row r="139" ht="19.5" customHeight="1">
      <c r="A139" s="21"/>
      <c r="B139" s="21"/>
      <c r="E139" s="21"/>
      <c r="F139" s="21"/>
      <c r="G139" s="21"/>
      <c r="H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2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</row>
    <row r="140" ht="19.5" customHeight="1">
      <c r="A140" s="21"/>
      <c r="B140" s="21"/>
      <c r="E140" s="21"/>
      <c r="F140" s="21"/>
      <c r="G140" s="21"/>
      <c r="H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2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</row>
    <row r="141" ht="19.5" customHeight="1">
      <c r="A141" s="21"/>
      <c r="B141" s="21"/>
      <c r="E141" s="21"/>
      <c r="F141" s="21"/>
      <c r="G141" s="21"/>
      <c r="H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2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</row>
    <row r="142" ht="19.5" customHeight="1">
      <c r="A142" s="21"/>
      <c r="B142" s="21"/>
      <c r="E142" s="21"/>
      <c r="F142" s="21"/>
      <c r="G142" s="21"/>
      <c r="H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2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</row>
    <row r="143" ht="19.5" customHeight="1">
      <c r="A143" s="21"/>
      <c r="B143" s="21"/>
      <c r="E143" s="21"/>
      <c r="F143" s="21"/>
      <c r="G143" s="21"/>
      <c r="H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2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</row>
    <row r="144" ht="19.5" customHeight="1">
      <c r="A144" s="21"/>
      <c r="B144" s="21"/>
      <c r="E144" s="21"/>
      <c r="F144" s="21"/>
      <c r="G144" s="21"/>
      <c r="H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2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</row>
    <row r="145" ht="19.5" customHeight="1">
      <c r="A145" s="21"/>
      <c r="B145" s="21"/>
      <c r="E145" s="21"/>
      <c r="F145" s="21"/>
      <c r="G145" s="21"/>
      <c r="H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2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</row>
    <row r="146" ht="19.5" customHeight="1">
      <c r="A146" s="21"/>
      <c r="B146" s="21"/>
      <c r="E146" s="21"/>
      <c r="F146" s="21"/>
      <c r="G146" s="21"/>
      <c r="H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2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</row>
    <row r="147" ht="19.5" customHeight="1">
      <c r="A147" s="21"/>
      <c r="B147" s="21"/>
      <c r="E147" s="21"/>
      <c r="F147" s="21"/>
      <c r="G147" s="21"/>
      <c r="H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2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</row>
    <row r="148" ht="19.5" customHeight="1">
      <c r="A148" s="21"/>
      <c r="B148" s="21"/>
      <c r="E148" s="21"/>
      <c r="F148" s="21"/>
      <c r="G148" s="21"/>
      <c r="H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2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</row>
    <row r="149" ht="19.5" customHeight="1">
      <c r="A149" s="21"/>
      <c r="B149" s="21"/>
      <c r="E149" s="21"/>
      <c r="F149" s="21"/>
      <c r="G149" s="21"/>
      <c r="H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2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</row>
    <row r="150" ht="19.5" customHeight="1">
      <c r="A150" s="21"/>
      <c r="B150" s="21"/>
      <c r="E150" s="21"/>
      <c r="F150" s="21"/>
      <c r="G150" s="21"/>
      <c r="H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2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</row>
    <row r="151" ht="19.5" customHeight="1">
      <c r="A151" s="21"/>
      <c r="B151" s="21"/>
      <c r="E151" s="21"/>
      <c r="F151" s="21"/>
      <c r="G151" s="21"/>
      <c r="H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2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</row>
    <row r="152" ht="19.5" customHeight="1">
      <c r="A152" s="21"/>
      <c r="B152" s="21"/>
      <c r="E152" s="21"/>
      <c r="F152" s="21"/>
      <c r="G152" s="21"/>
      <c r="H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2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</row>
    <row r="153" ht="19.5" customHeight="1">
      <c r="A153" s="21"/>
      <c r="B153" s="21"/>
      <c r="E153" s="21"/>
      <c r="F153" s="21"/>
      <c r="G153" s="21"/>
      <c r="H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2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</row>
    <row r="154" ht="19.5" customHeight="1">
      <c r="A154" s="21"/>
      <c r="B154" s="21"/>
      <c r="E154" s="21"/>
      <c r="F154" s="21"/>
      <c r="G154" s="21"/>
      <c r="H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2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</row>
    <row r="155" ht="19.5" customHeight="1">
      <c r="A155" s="21"/>
      <c r="B155" s="21"/>
      <c r="E155" s="21"/>
      <c r="F155" s="21"/>
      <c r="G155" s="21"/>
      <c r="H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2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</row>
    <row r="156" ht="19.5" customHeight="1">
      <c r="A156" s="21"/>
      <c r="B156" s="21"/>
      <c r="E156" s="21"/>
      <c r="F156" s="21"/>
      <c r="G156" s="21"/>
      <c r="H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2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</row>
    <row r="157" ht="19.5" customHeight="1">
      <c r="A157" s="21"/>
      <c r="B157" s="21"/>
      <c r="E157" s="21"/>
      <c r="F157" s="21"/>
      <c r="G157" s="21"/>
      <c r="H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2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</row>
    <row r="158" ht="19.5" customHeight="1">
      <c r="A158" s="21"/>
      <c r="B158" s="21"/>
      <c r="E158" s="21"/>
      <c r="F158" s="21"/>
      <c r="G158" s="21"/>
      <c r="H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2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</row>
    <row r="159" ht="19.5" customHeight="1">
      <c r="A159" s="21"/>
      <c r="B159" s="21"/>
      <c r="E159" s="21"/>
      <c r="F159" s="21"/>
      <c r="G159" s="21"/>
      <c r="H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2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</row>
    <row r="160" ht="19.5" customHeight="1">
      <c r="A160" s="21"/>
      <c r="B160" s="21"/>
      <c r="E160" s="21"/>
      <c r="F160" s="21"/>
      <c r="G160" s="21"/>
      <c r="H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2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</row>
    <row r="161" ht="19.5" customHeight="1">
      <c r="A161" s="21"/>
      <c r="B161" s="21"/>
      <c r="E161" s="21"/>
      <c r="F161" s="21"/>
      <c r="G161" s="21"/>
      <c r="H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2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</row>
    <row r="162" ht="19.5" customHeight="1">
      <c r="A162" s="21"/>
      <c r="B162" s="21"/>
      <c r="E162" s="21"/>
      <c r="F162" s="21"/>
      <c r="G162" s="21"/>
      <c r="H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2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</row>
    <row r="163" ht="19.5" customHeight="1">
      <c r="A163" s="21"/>
      <c r="B163" s="21"/>
      <c r="E163" s="21"/>
      <c r="F163" s="21"/>
      <c r="G163" s="21"/>
      <c r="H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2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</row>
    <row r="164" ht="19.5" customHeight="1">
      <c r="A164" s="21"/>
      <c r="B164" s="21"/>
      <c r="E164" s="21"/>
      <c r="F164" s="21"/>
      <c r="G164" s="21"/>
      <c r="H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2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</row>
    <row r="165" ht="19.5" customHeight="1">
      <c r="A165" s="21"/>
      <c r="B165" s="21"/>
      <c r="E165" s="21"/>
      <c r="F165" s="21"/>
      <c r="G165" s="21"/>
      <c r="H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2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</row>
    <row r="166" ht="19.5" customHeight="1">
      <c r="A166" s="21"/>
      <c r="B166" s="21"/>
      <c r="E166" s="21"/>
      <c r="F166" s="21"/>
      <c r="G166" s="21"/>
      <c r="H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2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</row>
    <row r="167" ht="19.5" customHeight="1">
      <c r="A167" s="21"/>
      <c r="B167" s="21"/>
      <c r="E167" s="21"/>
      <c r="F167" s="21"/>
      <c r="G167" s="21"/>
      <c r="H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2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</row>
    <row r="168" ht="19.5" customHeight="1">
      <c r="A168" s="21"/>
      <c r="B168" s="21"/>
      <c r="E168" s="21"/>
      <c r="F168" s="21"/>
      <c r="G168" s="21"/>
      <c r="H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2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</row>
    <row r="169" ht="19.5" customHeight="1">
      <c r="A169" s="21"/>
      <c r="B169" s="21"/>
      <c r="E169" s="21"/>
      <c r="F169" s="21"/>
      <c r="G169" s="21"/>
      <c r="H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2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ht="19.5" customHeight="1">
      <c r="A170" s="21"/>
      <c r="B170" s="21"/>
      <c r="E170" s="21"/>
      <c r="F170" s="21"/>
      <c r="G170" s="21"/>
      <c r="H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2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ht="19.5" customHeight="1">
      <c r="A171" s="21"/>
      <c r="B171" s="21"/>
      <c r="E171" s="21"/>
      <c r="F171" s="21"/>
      <c r="G171" s="21"/>
      <c r="H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2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</row>
    <row r="172" ht="19.5" customHeight="1">
      <c r="A172" s="21"/>
      <c r="B172" s="21"/>
      <c r="E172" s="21"/>
      <c r="F172" s="21"/>
      <c r="G172" s="21"/>
      <c r="H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2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</row>
    <row r="173" ht="19.5" customHeight="1">
      <c r="A173" s="21"/>
      <c r="B173" s="21"/>
      <c r="E173" s="21"/>
      <c r="F173" s="21"/>
      <c r="G173" s="21"/>
      <c r="H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2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</row>
    <row r="174" ht="19.5" customHeight="1">
      <c r="A174" s="21"/>
      <c r="B174" s="21"/>
      <c r="E174" s="21"/>
      <c r="F174" s="21"/>
      <c r="G174" s="21"/>
      <c r="H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2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</row>
    <row r="175" ht="19.5" customHeight="1">
      <c r="A175" s="21"/>
      <c r="B175" s="21"/>
      <c r="E175" s="21"/>
      <c r="F175" s="21"/>
      <c r="G175" s="21"/>
      <c r="H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2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</row>
    <row r="176" ht="19.5" customHeight="1">
      <c r="A176" s="21"/>
      <c r="B176" s="21"/>
      <c r="E176" s="21"/>
      <c r="F176" s="21"/>
      <c r="G176" s="21"/>
      <c r="H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2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</row>
    <row r="177" ht="19.5" customHeight="1">
      <c r="A177" s="21"/>
      <c r="B177" s="21"/>
      <c r="E177" s="21"/>
      <c r="F177" s="21"/>
      <c r="G177" s="21"/>
      <c r="H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2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</row>
    <row r="178" ht="19.5" customHeight="1">
      <c r="A178" s="21"/>
      <c r="B178" s="21"/>
      <c r="E178" s="21"/>
      <c r="F178" s="21"/>
      <c r="G178" s="21"/>
      <c r="H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2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</row>
    <row r="179" ht="19.5" customHeight="1">
      <c r="A179" s="21"/>
      <c r="B179" s="21"/>
      <c r="E179" s="21"/>
      <c r="F179" s="21"/>
      <c r="G179" s="21"/>
      <c r="H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2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</row>
    <row r="180" ht="19.5" customHeight="1">
      <c r="A180" s="21"/>
      <c r="B180" s="21"/>
      <c r="E180" s="21"/>
      <c r="F180" s="21"/>
      <c r="G180" s="21"/>
      <c r="H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2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</row>
    <row r="181" ht="19.5" customHeight="1">
      <c r="A181" s="21"/>
      <c r="B181" s="21"/>
      <c r="E181" s="21"/>
      <c r="F181" s="21"/>
      <c r="G181" s="21"/>
      <c r="H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2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</row>
    <row r="182" ht="19.5" customHeight="1">
      <c r="A182" s="21"/>
      <c r="B182" s="21"/>
      <c r="E182" s="21"/>
      <c r="F182" s="21"/>
      <c r="G182" s="21"/>
      <c r="H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2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</row>
    <row r="183" ht="19.5" customHeight="1">
      <c r="A183" s="21"/>
      <c r="B183" s="21"/>
      <c r="E183" s="21"/>
      <c r="F183" s="21"/>
      <c r="G183" s="21"/>
      <c r="H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2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</row>
    <row r="184" ht="19.5" customHeight="1">
      <c r="A184" s="21"/>
      <c r="B184" s="21"/>
      <c r="E184" s="21"/>
      <c r="F184" s="21"/>
      <c r="G184" s="21"/>
      <c r="H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2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</row>
    <row r="185" ht="19.5" customHeight="1">
      <c r="A185" s="21"/>
      <c r="B185" s="21"/>
      <c r="E185" s="21"/>
      <c r="F185" s="21"/>
      <c r="G185" s="21"/>
      <c r="H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2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</row>
    <row r="186" ht="19.5" customHeight="1">
      <c r="A186" s="21"/>
      <c r="B186" s="21"/>
      <c r="E186" s="21"/>
      <c r="F186" s="21"/>
      <c r="G186" s="21"/>
      <c r="H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2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</row>
    <row r="187" ht="19.5" customHeight="1">
      <c r="A187" s="21"/>
      <c r="B187" s="21"/>
      <c r="E187" s="21"/>
      <c r="F187" s="21"/>
      <c r="G187" s="21"/>
      <c r="H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2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</row>
    <row r="188" ht="19.5" customHeight="1">
      <c r="A188" s="21"/>
      <c r="B188" s="21"/>
      <c r="E188" s="21"/>
      <c r="F188" s="21"/>
      <c r="G188" s="21"/>
      <c r="H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2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</row>
    <row r="189" ht="19.5" customHeight="1">
      <c r="A189" s="21"/>
      <c r="B189" s="21"/>
      <c r="E189" s="21"/>
      <c r="F189" s="21"/>
      <c r="G189" s="21"/>
      <c r="H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2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</row>
    <row r="190" ht="19.5" customHeight="1">
      <c r="A190" s="21"/>
      <c r="B190" s="21"/>
      <c r="E190" s="21"/>
      <c r="F190" s="21"/>
      <c r="G190" s="21"/>
      <c r="H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2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</row>
    <row r="191" ht="19.5" customHeight="1">
      <c r="A191" s="21"/>
      <c r="B191" s="21"/>
      <c r="E191" s="21"/>
      <c r="F191" s="21"/>
      <c r="G191" s="21"/>
      <c r="H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2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</row>
    <row r="192" ht="19.5" customHeight="1">
      <c r="A192" s="21"/>
      <c r="B192" s="21"/>
      <c r="E192" s="21"/>
      <c r="F192" s="21"/>
      <c r="G192" s="21"/>
      <c r="H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2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</row>
    <row r="193" ht="19.5" customHeight="1">
      <c r="A193" s="21"/>
      <c r="B193" s="21"/>
      <c r="E193" s="21"/>
      <c r="F193" s="21"/>
      <c r="G193" s="21"/>
      <c r="H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2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</row>
    <row r="194" ht="19.5" customHeight="1">
      <c r="A194" s="21"/>
      <c r="B194" s="21"/>
      <c r="E194" s="21"/>
      <c r="F194" s="21"/>
      <c r="G194" s="21"/>
      <c r="H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2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</row>
    <row r="195" ht="19.5" customHeight="1">
      <c r="A195" s="21"/>
      <c r="B195" s="21"/>
      <c r="E195" s="21"/>
      <c r="F195" s="21"/>
      <c r="G195" s="21"/>
      <c r="H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2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</row>
    <row r="196" ht="19.5" customHeight="1">
      <c r="A196" s="21"/>
      <c r="B196" s="21"/>
      <c r="E196" s="21"/>
      <c r="F196" s="21"/>
      <c r="G196" s="21"/>
      <c r="H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2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</row>
    <row r="197" ht="19.5" customHeight="1">
      <c r="A197" s="21"/>
      <c r="B197" s="21"/>
      <c r="E197" s="21"/>
      <c r="F197" s="21"/>
      <c r="G197" s="21"/>
      <c r="H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2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</row>
    <row r="198" ht="19.5" customHeight="1">
      <c r="A198" s="21"/>
      <c r="B198" s="21"/>
      <c r="E198" s="21"/>
      <c r="F198" s="21"/>
      <c r="G198" s="21"/>
      <c r="H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2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</row>
    <row r="199" ht="19.5" customHeight="1">
      <c r="A199" s="21"/>
      <c r="B199" s="21"/>
      <c r="E199" s="21"/>
      <c r="F199" s="21"/>
      <c r="G199" s="21"/>
      <c r="H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2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</row>
    <row r="200" ht="19.5" customHeight="1">
      <c r="A200" s="21"/>
      <c r="B200" s="21"/>
      <c r="E200" s="21"/>
      <c r="F200" s="21"/>
      <c r="G200" s="21"/>
      <c r="H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2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</row>
    <row r="201" ht="19.5" customHeight="1">
      <c r="A201" s="21"/>
      <c r="B201" s="21"/>
      <c r="E201" s="21"/>
      <c r="F201" s="21"/>
      <c r="G201" s="21"/>
      <c r="H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2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</row>
    <row r="202" ht="19.5" customHeight="1">
      <c r="A202" s="21"/>
      <c r="B202" s="21"/>
      <c r="E202" s="21"/>
      <c r="F202" s="21"/>
      <c r="G202" s="21"/>
      <c r="H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2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</row>
    <row r="203" ht="19.5" customHeight="1">
      <c r="A203" s="21"/>
      <c r="B203" s="21"/>
      <c r="E203" s="21"/>
      <c r="F203" s="21"/>
      <c r="G203" s="21"/>
      <c r="H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2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</row>
    <row r="204" ht="19.5" customHeight="1">
      <c r="A204" s="21"/>
      <c r="B204" s="21"/>
      <c r="E204" s="21"/>
      <c r="F204" s="21"/>
      <c r="G204" s="21"/>
      <c r="H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2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</row>
    <row r="205" ht="19.5" customHeight="1">
      <c r="A205" s="21"/>
      <c r="B205" s="21"/>
      <c r="E205" s="21"/>
      <c r="F205" s="21"/>
      <c r="G205" s="21"/>
      <c r="H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2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</row>
    <row r="206" ht="19.5" customHeight="1">
      <c r="A206" s="21"/>
      <c r="B206" s="21"/>
      <c r="E206" s="21"/>
      <c r="F206" s="21"/>
      <c r="G206" s="21"/>
      <c r="H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2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</row>
    <row r="207" ht="19.5" customHeight="1">
      <c r="A207" s="21"/>
      <c r="B207" s="21"/>
      <c r="E207" s="21"/>
      <c r="F207" s="21"/>
      <c r="G207" s="21"/>
      <c r="H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2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</row>
    <row r="208" ht="19.5" customHeight="1">
      <c r="A208" s="21"/>
      <c r="B208" s="21"/>
      <c r="E208" s="21"/>
      <c r="F208" s="21"/>
      <c r="G208" s="21"/>
      <c r="H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2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</row>
    <row r="209" ht="19.5" customHeight="1">
      <c r="A209" s="21"/>
      <c r="B209" s="21"/>
      <c r="E209" s="21"/>
      <c r="F209" s="21"/>
      <c r="G209" s="21"/>
      <c r="H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2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</row>
    <row r="210" ht="19.5" customHeight="1">
      <c r="A210" s="21"/>
      <c r="B210" s="21"/>
      <c r="E210" s="21"/>
      <c r="F210" s="21"/>
      <c r="G210" s="21"/>
      <c r="H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2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</row>
    <row r="211" ht="19.5" customHeight="1">
      <c r="A211" s="21"/>
      <c r="B211" s="21"/>
      <c r="E211" s="21"/>
      <c r="F211" s="21"/>
      <c r="G211" s="21"/>
      <c r="H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2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</row>
    <row r="212" ht="19.5" customHeight="1">
      <c r="A212" s="21"/>
      <c r="B212" s="21"/>
      <c r="E212" s="21"/>
      <c r="F212" s="21"/>
      <c r="G212" s="21"/>
      <c r="H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2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</row>
    <row r="213" ht="19.5" customHeight="1">
      <c r="A213" s="21"/>
      <c r="B213" s="21"/>
      <c r="E213" s="21"/>
      <c r="F213" s="21"/>
      <c r="G213" s="21"/>
      <c r="H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2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</row>
    <row r="214" ht="19.5" customHeight="1">
      <c r="A214" s="21"/>
      <c r="B214" s="21"/>
      <c r="E214" s="21"/>
      <c r="F214" s="21"/>
      <c r="G214" s="21"/>
      <c r="H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2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</row>
    <row r="215" ht="19.5" customHeight="1">
      <c r="A215" s="21"/>
      <c r="B215" s="21"/>
      <c r="E215" s="21"/>
      <c r="F215" s="21"/>
      <c r="G215" s="21"/>
      <c r="H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2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</row>
    <row r="216" ht="19.5" customHeight="1">
      <c r="A216" s="21"/>
      <c r="B216" s="21"/>
      <c r="E216" s="21"/>
      <c r="F216" s="21"/>
      <c r="G216" s="21"/>
      <c r="H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2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</row>
    <row r="217" ht="19.5" customHeight="1">
      <c r="A217" s="21"/>
      <c r="B217" s="21"/>
      <c r="E217" s="21"/>
      <c r="F217" s="21"/>
      <c r="G217" s="21"/>
      <c r="H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2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</row>
    <row r="218" ht="19.5" customHeight="1">
      <c r="A218" s="21"/>
      <c r="B218" s="21"/>
      <c r="E218" s="21"/>
      <c r="F218" s="21"/>
      <c r="G218" s="21"/>
      <c r="H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2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</row>
    <row r="219" ht="19.5" customHeight="1">
      <c r="A219" s="21"/>
      <c r="B219" s="21"/>
      <c r="E219" s="21"/>
      <c r="F219" s="21"/>
      <c r="G219" s="21"/>
      <c r="H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2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</row>
    <row r="220" ht="19.5" customHeight="1">
      <c r="A220" s="21"/>
      <c r="B220" s="21"/>
      <c r="E220" s="21"/>
      <c r="F220" s="21"/>
      <c r="G220" s="21"/>
      <c r="H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2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</row>
    <row r="221" ht="19.5" customHeight="1">
      <c r="A221" s="21"/>
      <c r="B221" s="21"/>
      <c r="E221" s="21"/>
      <c r="F221" s="21"/>
      <c r="G221" s="21"/>
      <c r="H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2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</row>
    <row r="222" ht="19.5" customHeight="1">
      <c r="A222" s="21"/>
      <c r="B222" s="21"/>
      <c r="E222" s="21"/>
      <c r="F222" s="21"/>
      <c r="G222" s="21"/>
      <c r="H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2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</row>
    <row r="223" ht="19.5" customHeight="1">
      <c r="A223" s="21"/>
      <c r="B223" s="21"/>
      <c r="E223" s="21"/>
      <c r="F223" s="21"/>
      <c r="G223" s="21"/>
      <c r="H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2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</row>
    <row r="224" ht="19.5" customHeight="1">
      <c r="A224" s="21"/>
      <c r="B224" s="21"/>
      <c r="E224" s="21"/>
      <c r="F224" s="21"/>
      <c r="G224" s="21"/>
      <c r="H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2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</row>
    <row r="225" ht="19.5" customHeight="1">
      <c r="A225" s="21"/>
      <c r="B225" s="21"/>
      <c r="E225" s="21"/>
      <c r="F225" s="21"/>
      <c r="G225" s="21"/>
      <c r="H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2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</row>
    <row r="226" ht="19.5" customHeight="1">
      <c r="A226" s="21"/>
      <c r="B226" s="21"/>
      <c r="E226" s="21"/>
      <c r="F226" s="21"/>
      <c r="G226" s="21"/>
      <c r="H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2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</row>
    <row r="227" ht="19.5" customHeight="1">
      <c r="A227" s="21"/>
      <c r="B227" s="21"/>
      <c r="E227" s="21"/>
      <c r="F227" s="21"/>
      <c r="G227" s="21"/>
      <c r="H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2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</row>
    <row r="228" ht="19.5" customHeight="1">
      <c r="A228" s="21"/>
      <c r="B228" s="21"/>
      <c r="E228" s="21"/>
      <c r="F228" s="21"/>
      <c r="G228" s="21"/>
      <c r="H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2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</row>
    <row r="229" ht="19.5" customHeight="1">
      <c r="A229" s="21"/>
      <c r="B229" s="21"/>
      <c r="E229" s="21"/>
      <c r="F229" s="21"/>
      <c r="G229" s="21"/>
      <c r="H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2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</row>
    <row r="230" ht="19.5" customHeight="1">
      <c r="A230" s="21"/>
      <c r="B230" s="21"/>
      <c r="E230" s="21"/>
      <c r="F230" s="21"/>
      <c r="G230" s="21"/>
      <c r="H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2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</row>
    <row r="231" ht="19.5" customHeight="1">
      <c r="A231" s="21"/>
      <c r="B231" s="21"/>
      <c r="E231" s="21"/>
      <c r="F231" s="21"/>
      <c r="G231" s="21"/>
      <c r="H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2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</row>
    <row r="232" ht="19.5" customHeight="1">
      <c r="A232" s="21"/>
      <c r="B232" s="21"/>
      <c r="E232" s="21"/>
      <c r="F232" s="21"/>
      <c r="G232" s="21"/>
      <c r="H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2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</row>
    <row r="233" ht="19.5" customHeight="1">
      <c r="A233" s="21"/>
      <c r="B233" s="21"/>
      <c r="E233" s="21"/>
      <c r="F233" s="21"/>
      <c r="G233" s="21"/>
      <c r="H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2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</row>
    <row r="234" ht="19.5" customHeight="1">
      <c r="A234" s="21"/>
      <c r="B234" s="21"/>
      <c r="E234" s="21"/>
      <c r="F234" s="21"/>
      <c r="G234" s="21"/>
      <c r="H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2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</row>
    <row r="235" ht="19.5" customHeight="1">
      <c r="A235" s="21"/>
      <c r="B235" s="21"/>
      <c r="E235" s="21"/>
      <c r="F235" s="21"/>
      <c r="G235" s="21"/>
      <c r="H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2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</row>
    <row r="236" ht="19.5" customHeight="1">
      <c r="A236" s="21"/>
      <c r="B236" s="21"/>
      <c r="E236" s="21"/>
      <c r="F236" s="21"/>
      <c r="G236" s="21"/>
      <c r="H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2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</row>
    <row r="237" ht="19.5" customHeight="1">
      <c r="A237" s="21"/>
      <c r="B237" s="21"/>
      <c r="E237" s="21"/>
      <c r="F237" s="21"/>
      <c r="G237" s="21"/>
      <c r="H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2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ht="19.5" customHeight="1">
      <c r="A238" s="21"/>
      <c r="B238" s="21"/>
      <c r="E238" s="21"/>
      <c r="F238" s="21"/>
      <c r="G238" s="21"/>
      <c r="H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2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</row>
    <row r="239" ht="19.5" customHeight="1">
      <c r="A239" s="21"/>
      <c r="B239" s="21"/>
      <c r="E239" s="21"/>
      <c r="F239" s="21"/>
      <c r="G239" s="21"/>
      <c r="H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2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</row>
    <row r="240" ht="19.5" customHeight="1">
      <c r="A240" s="21"/>
      <c r="B240" s="21"/>
      <c r="E240" s="21"/>
      <c r="F240" s="21"/>
      <c r="G240" s="21"/>
      <c r="H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2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</row>
    <row r="241" ht="19.5" customHeight="1">
      <c r="A241" s="21"/>
      <c r="B241" s="21"/>
      <c r="E241" s="21"/>
      <c r="F241" s="21"/>
      <c r="G241" s="21"/>
      <c r="H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2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</row>
    <row r="242" ht="19.5" customHeight="1">
      <c r="A242" s="21"/>
      <c r="B242" s="21"/>
      <c r="E242" s="21"/>
      <c r="F242" s="21"/>
      <c r="G242" s="21"/>
      <c r="H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2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</row>
    <row r="243" ht="19.5" customHeight="1">
      <c r="A243" s="21"/>
      <c r="B243" s="21"/>
      <c r="E243" s="21"/>
      <c r="F243" s="21"/>
      <c r="G243" s="21"/>
      <c r="H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2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</row>
    <row r="244" ht="19.5" customHeight="1">
      <c r="A244" s="21"/>
      <c r="B244" s="21"/>
      <c r="E244" s="21"/>
      <c r="F244" s="21"/>
      <c r="G244" s="21"/>
      <c r="H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2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</row>
    <row r="245" ht="19.5" customHeight="1">
      <c r="A245" s="21"/>
      <c r="B245" s="21"/>
      <c r="E245" s="21"/>
      <c r="F245" s="21"/>
      <c r="G245" s="21"/>
      <c r="H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2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</row>
    <row r="246" ht="19.5" customHeight="1">
      <c r="A246" s="21"/>
      <c r="B246" s="21"/>
      <c r="E246" s="21"/>
      <c r="F246" s="21"/>
      <c r="G246" s="21"/>
      <c r="H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2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</row>
    <row r="247" ht="19.5" customHeight="1">
      <c r="A247" s="21"/>
      <c r="B247" s="21"/>
      <c r="E247" s="21"/>
      <c r="F247" s="21"/>
      <c r="G247" s="21"/>
      <c r="H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2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</row>
    <row r="248" ht="19.5" customHeight="1">
      <c r="A248" s="21"/>
      <c r="B248" s="21"/>
      <c r="E248" s="21"/>
      <c r="F248" s="21"/>
      <c r="G248" s="21"/>
      <c r="H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2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</row>
    <row r="249" ht="19.5" customHeight="1">
      <c r="A249" s="21"/>
      <c r="B249" s="21"/>
      <c r="E249" s="21"/>
      <c r="F249" s="21"/>
      <c r="G249" s="21"/>
      <c r="H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2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</row>
    <row r="250" ht="19.5" customHeight="1">
      <c r="A250" s="21"/>
      <c r="B250" s="21"/>
      <c r="E250" s="21"/>
      <c r="F250" s="21"/>
      <c r="G250" s="21"/>
      <c r="H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2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</row>
    <row r="251" ht="19.5" customHeight="1">
      <c r="A251" s="21"/>
      <c r="B251" s="21"/>
      <c r="E251" s="21"/>
      <c r="F251" s="21"/>
      <c r="G251" s="21"/>
      <c r="H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2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</row>
    <row r="252" ht="19.5" customHeight="1">
      <c r="A252" s="21"/>
      <c r="B252" s="21"/>
      <c r="E252" s="21"/>
      <c r="F252" s="21"/>
      <c r="G252" s="21"/>
      <c r="H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2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E87:M87"/>
    <mergeCell ref="E88:M88"/>
    <mergeCell ref="E89:M89"/>
    <mergeCell ref="E90:M90"/>
    <mergeCell ref="E91:M91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7.63"/>
    <col customWidth="1" min="3" max="3" width="6.5"/>
    <col customWidth="1" min="4" max="4" width="6.63"/>
    <col customWidth="1" min="5" max="5" width="37.13"/>
    <col customWidth="1" min="6" max="6" width="16.63"/>
    <col customWidth="1" min="7" max="7" width="14.63"/>
    <col customWidth="1" min="8" max="8" width="12.13"/>
    <col customWidth="1" min="9" max="9" width="24.38"/>
    <col customWidth="1" min="10" max="10" width="17.88"/>
    <col customWidth="1" min="11" max="11" width="9.25"/>
    <col customWidth="1" min="12" max="12" width="9.75"/>
    <col customWidth="1" min="13" max="13" width="7.38"/>
    <col customWidth="1" min="14" max="14" width="6.63"/>
    <col customWidth="1" min="15" max="15" width="21.38"/>
    <col customWidth="1" min="16" max="16" width="12.0"/>
    <col customWidth="1" min="17" max="17" width="12.88"/>
    <col customWidth="1" min="18" max="18" width="9.88"/>
    <col customWidth="1" min="19" max="19" width="12.63"/>
    <col customWidth="1" min="20" max="20" width="38.5"/>
    <col customWidth="1" min="21" max="21" width="8.38"/>
    <col customWidth="1" min="22" max="22" width="7.0"/>
    <col customWidth="1" min="23" max="23" width="8.38"/>
    <col customWidth="1" min="24" max="24" width="6.25"/>
    <col customWidth="1" min="25" max="25" width="7.13"/>
    <col customWidth="1" min="26" max="26" width="25.88"/>
    <col customWidth="1" min="27" max="27" width="14.0"/>
    <col customWidth="1" min="28" max="28" width="19.13"/>
    <col customWidth="1" min="29" max="29" width="16.38"/>
    <col customWidth="1" min="30" max="30" width="24.88"/>
    <col customWidth="1" min="31" max="31" width="23.63"/>
    <col customWidth="1" min="32" max="32" width="16.63"/>
    <col customWidth="1" min="33" max="33" width="13.13"/>
    <col customWidth="1" min="34" max="34" width="29.25"/>
    <col customWidth="1" min="35" max="35" width="17.5"/>
    <col customWidth="1" min="36" max="36" width="26.13"/>
    <col customWidth="1" min="37" max="37" width="17.75"/>
    <col customWidth="1" min="38" max="38" width="28.25"/>
    <col customWidth="1" min="39" max="39" width="16.63"/>
    <col customWidth="1" min="40" max="40" width="16.25"/>
    <col customWidth="1" min="41" max="42" width="19.63"/>
  </cols>
  <sheetData>
    <row r="1">
      <c r="A1" s="3" t="s">
        <v>2</v>
      </c>
      <c r="B1" s="4"/>
      <c r="D1" s="6"/>
      <c r="E1" s="8"/>
      <c r="F1" s="8"/>
      <c r="G1" s="9"/>
      <c r="H1" s="10" t="s">
        <v>5</v>
      </c>
      <c r="I1" s="9"/>
      <c r="J1" s="8"/>
      <c r="K1" s="8"/>
      <c r="L1" s="8"/>
      <c r="M1" s="8"/>
      <c r="N1" s="6"/>
      <c r="O1" s="8"/>
      <c r="P1" s="8"/>
      <c r="Q1" s="8"/>
      <c r="R1" s="8"/>
      <c r="S1" s="10" t="s">
        <v>7</v>
      </c>
      <c r="T1" s="9"/>
      <c r="U1" s="12"/>
      <c r="V1" s="8"/>
      <c r="W1" s="8"/>
      <c r="X1" s="9"/>
      <c r="Y1" s="14"/>
      <c r="Z1" s="8"/>
      <c r="AA1" s="8"/>
      <c r="AB1" s="8"/>
      <c r="AC1" s="8"/>
      <c r="AD1" s="12"/>
      <c r="AE1" s="8"/>
      <c r="AF1" s="8"/>
      <c r="AG1" s="10" t="s">
        <v>9</v>
      </c>
      <c r="AH1" s="9"/>
      <c r="AI1" s="9"/>
      <c r="AJ1" s="9"/>
      <c r="AK1" s="9"/>
      <c r="AL1" s="9"/>
      <c r="AM1" s="9"/>
      <c r="AN1" s="9"/>
      <c r="AO1" s="16"/>
      <c r="AP1" s="23"/>
    </row>
    <row r="2">
      <c r="A2" s="17" t="s">
        <v>15</v>
      </c>
      <c r="B2" s="18"/>
      <c r="D2" s="19"/>
      <c r="E2" s="21"/>
      <c r="F2" s="22"/>
      <c r="G2" s="22"/>
      <c r="H2" s="24"/>
      <c r="I2" s="22"/>
      <c r="J2" s="22"/>
      <c r="K2" s="21"/>
      <c r="L2" s="21"/>
      <c r="M2" s="21"/>
      <c r="N2" s="19"/>
      <c r="O2" s="21"/>
      <c r="P2" s="21"/>
      <c r="Q2" s="21"/>
      <c r="R2" s="21"/>
      <c r="S2" s="21"/>
      <c r="T2" s="22"/>
      <c r="U2" s="21"/>
      <c r="V2" s="21"/>
      <c r="W2" s="21"/>
      <c r="X2" s="22"/>
      <c r="Y2" s="28"/>
      <c r="Z2" s="21"/>
      <c r="AA2" s="21"/>
      <c r="AB2" s="21"/>
      <c r="AC2" s="21"/>
      <c r="AD2" s="21"/>
      <c r="AE2" s="21"/>
      <c r="AF2" s="21"/>
      <c r="AG2" s="22"/>
      <c r="AH2" s="22"/>
      <c r="AI2" s="22"/>
      <c r="AJ2" s="22"/>
      <c r="AK2" s="22"/>
      <c r="AL2" s="22"/>
      <c r="AM2" s="22"/>
      <c r="AN2" s="22"/>
      <c r="AO2" s="29"/>
      <c r="AP2" s="23"/>
    </row>
    <row r="3">
      <c r="A3" s="30" t="s">
        <v>19</v>
      </c>
      <c r="B3" s="32">
        <v>120000.0</v>
      </c>
      <c r="D3" s="19"/>
      <c r="E3" s="21"/>
      <c r="F3" s="21"/>
      <c r="G3" s="21"/>
      <c r="H3" s="21"/>
      <c r="I3" s="21"/>
      <c r="J3" s="21"/>
      <c r="K3" s="21"/>
      <c r="L3" s="21"/>
      <c r="M3" s="21"/>
      <c r="N3" s="19"/>
      <c r="O3" s="21"/>
      <c r="P3" s="21"/>
      <c r="Q3" s="21"/>
      <c r="R3" s="21"/>
      <c r="S3" s="21"/>
      <c r="T3" s="22"/>
      <c r="U3" s="21"/>
      <c r="V3" s="21"/>
      <c r="W3" s="21"/>
      <c r="X3" s="22"/>
      <c r="Y3" s="28"/>
      <c r="Z3" s="21"/>
      <c r="AA3" s="21"/>
      <c r="AB3" s="21"/>
      <c r="AC3" s="21"/>
      <c r="AD3" s="21"/>
      <c r="AE3" s="21"/>
      <c r="AF3" s="21"/>
      <c r="AG3" s="22"/>
      <c r="AH3" s="22"/>
      <c r="AI3" s="22"/>
      <c r="AJ3" s="22"/>
      <c r="AK3" s="22"/>
      <c r="AL3" s="22"/>
      <c r="AM3" s="22"/>
      <c r="AN3" s="22"/>
      <c r="AO3" s="29"/>
      <c r="AP3" s="23"/>
    </row>
    <row r="4">
      <c r="A4" s="30" t="s">
        <v>28</v>
      </c>
      <c r="B4" s="34">
        <v>0.034</v>
      </c>
      <c r="C4" s="35"/>
      <c r="D4" s="19"/>
      <c r="E4" s="36" t="s">
        <v>33</v>
      </c>
      <c r="F4" s="37" t="s">
        <v>35</v>
      </c>
      <c r="G4" s="38" t="s">
        <v>37</v>
      </c>
      <c r="H4" s="22"/>
      <c r="I4" s="21"/>
      <c r="J4" s="39" t="s">
        <v>38</v>
      </c>
      <c r="K4" s="41">
        <f>$B$3</f>
        <v>120000</v>
      </c>
      <c r="L4" s="21"/>
      <c r="M4" s="21"/>
      <c r="N4" s="19"/>
      <c r="O4" s="42" t="s">
        <v>43</v>
      </c>
      <c r="P4" s="43"/>
      <c r="Q4" s="22"/>
      <c r="R4" s="22"/>
      <c r="S4" s="22"/>
      <c r="T4" s="42" t="s">
        <v>46</v>
      </c>
      <c r="U4" s="21"/>
      <c r="V4" s="21"/>
      <c r="W4" s="21"/>
      <c r="X4" s="22"/>
      <c r="Y4" s="28"/>
      <c r="Z4" s="36" t="s">
        <v>47</v>
      </c>
      <c r="AA4" s="44"/>
      <c r="AB4" s="45"/>
      <c r="AC4" s="22"/>
      <c r="AD4" s="42" t="s">
        <v>49</v>
      </c>
      <c r="AE4" s="43"/>
      <c r="AF4" s="22"/>
      <c r="AG4" s="22"/>
      <c r="AH4" s="42" t="s">
        <v>52</v>
      </c>
      <c r="AI4" s="22"/>
      <c r="AJ4" s="22"/>
      <c r="AK4" s="22"/>
      <c r="AL4" s="42" t="s">
        <v>56</v>
      </c>
      <c r="AM4" s="43"/>
      <c r="AN4" s="22"/>
      <c r="AO4" s="29"/>
      <c r="AP4" s="23"/>
    </row>
    <row r="5">
      <c r="A5" s="30" t="s">
        <v>57</v>
      </c>
      <c r="B5" s="34">
        <v>0.006</v>
      </c>
      <c r="C5" s="35"/>
      <c r="D5" s="19"/>
      <c r="E5" s="46" t="s">
        <v>59</v>
      </c>
      <c r="F5" s="48">
        <f>1-$B$4-$B$5</f>
        <v>0.96</v>
      </c>
      <c r="G5" s="49">
        <f>$B$4</f>
        <v>0.034</v>
      </c>
      <c r="H5" s="48"/>
      <c r="I5" s="21"/>
      <c r="J5" s="21"/>
      <c r="K5" s="21"/>
      <c r="L5" s="21"/>
      <c r="M5" s="21"/>
      <c r="N5" s="19"/>
      <c r="O5" s="50" t="s">
        <v>68</v>
      </c>
      <c r="P5" s="37" t="s">
        <v>70</v>
      </c>
      <c r="Q5" s="38" t="s">
        <v>71</v>
      </c>
      <c r="R5" s="22"/>
      <c r="S5" s="22"/>
      <c r="T5" s="50" t="s">
        <v>73</v>
      </c>
      <c r="U5" s="37" t="s">
        <v>35</v>
      </c>
      <c r="V5" s="38" t="s">
        <v>37</v>
      </c>
      <c r="W5" s="21"/>
      <c r="X5" s="22"/>
      <c r="Y5" s="28"/>
      <c r="Z5" s="46" t="s">
        <v>73</v>
      </c>
      <c r="AA5" s="51" t="s">
        <v>35</v>
      </c>
      <c r="AB5" s="52" t="s">
        <v>37</v>
      </c>
      <c r="AC5" s="43"/>
      <c r="AD5" s="50" t="s">
        <v>73</v>
      </c>
      <c r="AE5" s="37" t="s">
        <v>35</v>
      </c>
      <c r="AF5" s="38" t="s">
        <v>37</v>
      </c>
      <c r="AG5" s="21"/>
      <c r="AH5" s="50" t="s">
        <v>73</v>
      </c>
      <c r="AI5" s="37" t="s">
        <v>35</v>
      </c>
      <c r="AJ5" s="38" t="s">
        <v>37</v>
      </c>
      <c r="AK5" s="21"/>
      <c r="AL5" s="50" t="s">
        <v>73</v>
      </c>
      <c r="AM5" s="37" t="s">
        <v>35</v>
      </c>
      <c r="AN5" s="38" t="s">
        <v>37</v>
      </c>
      <c r="AO5" s="29"/>
      <c r="AP5" s="23"/>
    </row>
    <row r="6">
      <c r="A6" s="30"/>
      <c r="B6" s="54"/>
      <c r="C6" s="35"/>
      <c r="D6" s="19"/>
      <c r="E6" s="46" t="s">
        <v>83</v>
      </c>
      <c r="F6" s="55" t="s">
        <v>84</v>
      </c>
      <c r="G6" s="49">
        <f>$B$5</f>
        <v>0.006</v>
      </c>
      <c r="H6" s="22"/>
      <c r="I6" s="21"/>
      <c r="J6" s="42" t="s">
        <v>86</v>
      </c>
      <c r="K6" s="21"/>
      <c r="L6" s="21"/>
      <c r="M6" s="21"/>
      <c r="N6" s="56"/>
      <c r="O6" s="57">
        <f>'Simple Inputs'!$E$27</f>
        <v>3</v>
      </c>
      <c r="P6" s="59">
        <f>'Simple Inputs'!$F$27</f>
        <v>1.99</v>
      </c>
      <c r="Q6" s="61">
        <f t="shared" ref="Q6:Q9" si="2">P6/O6</f>
        <v>0.6633333333</v>
      </c>
      <c r="R6" s="22"/>
      <c r="S6" s="22"/>
      <c r="T6" s="62" t="s">
        <v>92</v>
      </c>
      <c r="U6" s="63">
        <v>3.0</v>
      </c>
      <c r="V6" s="64">
        <v>3.0</v>
      </c>
      <c r="W6" s="21"/>
      <c r="X6" s="22"/>
      <c r="Y6" s="28"/>
      <c r="Z6" s="62" t="s">
        <v>95</v>
      </c>
      <c r="AA6" s="55">
        <v>5100.0</v>
      </c>
      <c r="AB6" s="65">
        <v>20000.0</v>
      </c>
      <c r="AC6" s="55"/>
      <c r="AD6" s="62" t="s">
        <v>95</v>
      </c>
      <c r="AE6" s="55">
        <v>4300.0</v>
      </c>
      <c r="AF6" s="65">
        <v>25000.0</v>
      </c>
      <c r="AG6" s="21"/>
      <c r="AH6" s="62" t="s">
        <v>92</v>
      </c>
      <c r="AI6" s="55">
        <v>0.0</v>
      </c>
      <c r="AJ6" s="65">
        <v>0.0</v>
      </c>
      <c r="AK6" s="67"/>
      <c r="AL6" s="62" t="s">
        <v>95</v>
      </c>
      <c r="AM6" s="55">
        <v>0.0</v>
      </c>
      <c r="AN6" s="65">
        <v>0.0</v>
      </c>
      <c r="AO6" s="68"/>
      <c r="AP6" s="69"/>
    </row>
    <row r="7">
      <c r="A7" s="17" t="s">
        <v>99</v>
      </c>
      <c r="B7" s="18"/>
      <c r="C7" s="35"/>
      <c r="D7" s="19"/>
      <c r="E7" s="46" t="s">
        <v>101</v>
      </c>
      <c r="F7" s="55">
        <f t="shared" ref="F7:G7" si="1">FLOOR(F5*$K$4, 1)</f>
        <v>115200</v>
      </c>
      <c r="G7" s="65">
        <f t="shared" si="1"/>
        <v>4080</v>
      </c>
      <c r="H7" s="22"/>
      <c r="I7" s="21"/>
      <c r="J7" s="50" t="s">
        <v>104</v>
      </c>
      <c r="K7" s="37" t="s">
        <v>35</v>
      </c>
      <c r="L7" s="38" t="s">
        <v>37</v>
      </c>
      <c r="M7" s="21"/>
      <c r="N7" s="56"/>
      <c r="O7" s="57">
        <f>'Simple Inputs'!$E$28</f>
        <v>10</v>
      </c>
      <c r="P7" s="59">
        <f>'Simple Inputs'!$F$28</f>
        <v>4.99</v>
      </c>
      <c r="Q7" s="61">
        <f t="shared" si="2"/>
        <v>0.499</v>
      </c>
      <c r="R7" s="22"/>
      <c r="S7" s="22"/>
      <c r="T7" s="62" t="s">
        <v>110</v>
      </c>
      <c r="U7" s="63">
        <v>3.0</v>
      </c>
      <c r="V7" s="64">
        <v>3.0</v>
      </c>
      <c r="W7" s="21"/>
      <c r="X7" s="22"/>
      <c r="Y7" s="28"/>
      <c r="Z7" s="62" t="s">
        <v>112</v>
      </c>
      <c r="AA7" s="55">
        <v>4600.0</v>
      </c>
      <c r="AB7" s="65">
        <v>1400.0</v>
      </c>
      <c r="AC7" s="55"/>
      <c r="AD7" s="62" t="s">
        <v>112</v>
      </c>
      <c r="AE7" s="55">
        <v>5200.0</v>
      </c>
      <c r="AF7" s="65">
        <v>4700.0</v>
      </c>
      <c r="AG7" s="21"/>
      <c r="AH7" s="62" t="s">
        <v>113</v>
      </c>
      <c r="AI7" s="55">
        <v>0.0</v>
      </c>
      <c r="AJ7" s="65">
        <v>4700.0</v>
      </c>
      <c r="AK7" s="67"/>
      <c r="AL7" s="62" t="s">
        <v>112</v>
      </c>
      <c r="AM7" s="55">
        <v>0.0</v>
      </c>
      <c r="AN7" s="65">
        <v>0.0</v>
      </c>
      <c r="AO7" s="68"/>
      <c r="AP7" s="69"/>
    </row>
    <row r="8">
      <c r="A8" s="30" t="s">
        <v>115</v>
      </c>
      <c r="B8" s="70">
        <f>$F$26</f>
        <v>88666.1136</v>
      </c>
      <c r="C8" s="35"/>
      <c r="D8" s="19"/>
      <c r="E8" s="46" t="s">
        <v>117</v>
      </c>
      <c r="F8" s="55" t="s">
        <v>84</v>
      </c>
      <c r="G8" s="65">
        <f>FLOOR(G6*$K$4, 1)</f>
        <v>720</v>
      </c>
      <c r="H8" s="22"/>
      <c r="I8" s="21"/>
      <c r="J8" s="46" t="s">
        <v>119</v>
      </c>
      <c r="K8" s="43" t="s">
        <v>84</v>
      </c>
      <c r="L8" s="71">
        <f>'Simple Inputs'!$E$13</f>
        <v>16.99</v>
      </c>
      <c r="M8" s="21"/>
      <c r="N8" s="56"/>
      <c r="O8" s="57">
        <f>'Simple Inputs'!$E$29</f>
        <v>25</v>
      </c>
      <c r="P8" s="59">
        <f>'Simple Inputs'!$F$29</f>
        <v>9.99</v>
      </c>
      <c r="Q8" s="61">
        <f t="shared" si="2"/>
        <v>0.3996</v>
      </c>
      <c r="R8" s="22"/>
      <c r="S8" s="22"/>
      <c r="T8" s="62" t="s">
        <v>113</v>
      </c>
      <c r="U8" s="63">
        <v>3.0</v>
      </c>
      <c r="V8" s="64">
        <v>3.0</v>
      </c>
      <c r="W8" s="21"/>
      <c r="X8" s="22"/>
      <c r="Y8" s="28"/>
      <c r="Z8" s="62" t="s">
        <v>110</v>
      </c>
      <c r="AA8" s="55">
        <v>5300.0</v>
      </c>
      <c r="AB8" s="65">
        <v>14000.0</v>
      </c>
      <c r="AC8" s="55"/>
      <c r="AD8" s="62" t="s">
        <v>110</v>
      </c>
      <c r="AE8" s="55">
        <v>2500.0</v>
      </c>
      <c r="AF8" s="65">
        <v>6100.0</v>
      </c>
      <c r="AG8" s="21"/>
      <c r="AH8" s="62" t="s">
        <v>110</v>
      </c>
      <c r="AI8" s="55">
        <v>0.0</v>
      </c>
      <c r="AJ8" s="65">
        <v>0.0</v>
      </c>
      <c r="AK8" s="67"/>
      <c r="AL8" s="62" t="s">
        <v>110</v>
      </c>
      <c r="AM8" s="55">
        <v>0.0</v>
      </c>
      <c r="AN8" s="65">
        <v>0.0</v>
      </c>
      <c r="AO8" s="68"/>
      <c r="AP8" s="69"/>
    </row>
    <row r="9">
      <c r="A9" s="30" t="s">
        <v>126</v>
      </c>
      <c r="B9" s="70">
        <f>-$F$27</f>
        <v>7368.819036</v>
      </c>
      <c r="C9" s="35"/>
      <c r="D9" s="19"/>
      <c r="E9" s="72" t="s">
        <v>128</v>
      </c>
      <c r="F9" s="73" t="s">
        <v>84</v>
      </c>
      <c r="G9" s="74">
        <f>FLOOR(G8/12, 1)</f>
        <v>60</v>
      </c>
      <c r="H9" s="63"/>
      <c r="I9" s="21"/>
      <c r="J9" s="72" t="s">
        <v>129</v>
      </c>
      <c r="K9" s="75" t="s">
        <v>84</v>
      </c>
      <c r="L9" s="76">
        <f>'Simple Inputs'!$E$14/12</f>
        <v>14.16583333</v>
      </c>
      <c r="M9" s="21"/>
      <c r="N9" s="56"/>
      <c r="O9" s="77">
        <f>'Simple Inputs'!$E$30</f>
        <v>50</v>
      </c>
      <c r="P9" s="78">
        <f>'Simple Inputs'!$F$30</f>
        <v>17.99</v>
      </c>
      <c r="Q9" s="79">
        <f t="shared" si="2"/>
        <v>0.3598</v>
      </c>
      <c r="R9" s="22"/>
      <c r="S9" s="22"/>
      <c r="T9" s="62" t="s">
        <v>135</v>
      </c>
      <c r="U9" s="63" t="s">
        <v>84</v>
      </c>
      <c r="V9" s="64">
        <v>5.0</v>
      </c>
      <c r="W9" s="21"/>
      <c r="X9" s="22"/>
      <c r="Y9" s="28"/>
      <c r="Z9" s="62" t="s">
        <v>138</v>
      </c>
      <c r="AA9" s="63" t="s">
        <v>84</v>
      </c>
      <c r="AB9" s="65">
        <v>13000.0</v>
      </c>
      <c r="AC9" s="55"/>
      <c r="AD9" s="62" t="s">
        <v>138</v>
      </c>
      <c r="AE9" s="63" t="s">
        <v>84</v>
      </c>
      <c r="AF9" s="65">
        <v>22000.0</v>
      </c>
      <c r="AG9" s="21"/>
      <c r="AH9" s="62" t="s">
        <v>135</v>
      </c>
      <c r="AI9" s="81" t="s">
        <v>84</v>
      </c>
      <c r="AJ9" s="65">
        <v>0.0</v>
      </c>
      <c r="AK9" s="67"/>
      <c r="AL9" s="62" t="s">
        <v>138</v>
      </c>
      <c r="AM9" s="63" t="s">
        <v>84</v>
      </c>
      <c r="AN9" s="65">
        <v>0.0</v>
      </c>
      <c r="AO9" s="68"/>
      <c r="AP9" s="69"/>
    </row>
    <row r="10">
      <c r="A10" s="30" t="s">
        <v>145</v>
      </c>
      <c r="B10" s="70">
        <f>-$F$28</f>
        <v>4719.070324</v>
      </c>
      <c r="D10" s="19"/>
      <c r="E10" s="21"/>
      <c r="F10" s="21"/>
      <c r="G10" s="21"/>
      <c r="H10" s="21"/>
      <c r="I10" s="21"/>
      <c r="J10" s="21"/>
      <c r="K10" s="21"/>
      <c r="L10" s="43"/>
      <c r="M10" s="21"/>
      <c r="N10" s="56"/>
      <c r="O10" s="67"/>
      <c r="P10" s="22"/>
      <c r="Q10" s="22"/>
      <c r="R10" s="22"/>
      <c r="S10" s="22"/>
      <c r="T10" s="83" t="s">
        <v>151</v>
      </c>
      <c r="U10" s="84" t="s">
        <v>84</v>
      </c>
      <c r="V10" s="85" t="s">
        <v>84</v>
      </c>
      <c r="W10" s="21"/>
      <c r="X10" s="22"/>
      <c r="Y10" s="28"/>
      <c r="Z10" s="62" t="s">
        <v>152</v>
      </c>
      <c r="AA10" s="63" t="s">
        <v>84</v>
      </c>
      <c r="AB10" s="65" t="s">
        <v>84</v>
      </c>
      <c r="AC10" s="55"/>
      <c r="AD10" s="62" t="s">
        <v>152</v>
      </c>
      <c r="AE10" s="63" t="s">
        <v>84</v>
      </c>
      <c r="AF10" s="65" t="s">
        <v>84</v>
      </c>
      <c r="AG10" s="21"/>
      <c r="AH10" s="62" t="s">
        <v>153</v>
      </c>
      <c r="AI10" s="81" t="s">
        <v>84</v>
      </c>
      <c r="AJ10" s="87" t="s">
        <v>84</v>
      </c>
      <c r="AK10" s="67"/>
      <c r="AL10" s="62" t="s">
        <v>152</v>
      </c>
      <c r="AM10" s="63" t="s">
        <v>84</v>
      </c>
      <c r="AN10" s="65" t="s">
        <v>84</v>
      </c>
      <c r="AO10" s="68"/>
      <c r="AP10" s="69"/>
    </row>
    <row r="11">
      <c r="A11" s="30" t="s">
        <v>155</v>
      </c>
      <c r="B11" s="70">
        <f>-$F$29</f>
        <v>17935.80061</v>
      </c>
      <c r="C11" s="35"/>
      <c r="D11" s="19"/>
      <c r="E11" s="42" t="s">
        <v>156</v>
      </c>
      <c r="F11" s="63"/>
      <c r="G11" s="22"/>
      <c r="H11" s="22"/>
      <c r="I11" s="21"/>
      <c r="J11" s="42" t="s">
        <v>145</v>
      </c>
      <c r="K11" s="59"/>
      <c r="L11" s="63"/>
      <c r="M11" s="21"/>
      <c r="N11" s="19"/>
      <c r="O11" s="21"/>
      <c r="P11" s="21"/>
      <c r="Q11" s="21"/>
      <c r="R11" s="21"/>
      <c r="S11" s="21"/>
      <c r="T11" s="21"/>
      <c r="U11" s="21"/>
      <c r="V11" s="21"/>
      <c r="W11" s="21"/>
      <c r="X11" s="22"/>
      <c r="Y11" s="28"/>
      <c r="Z11" s="72" t="s">
        <v>158</v>
      </c>
      <c r="AA11" s="88">
        <f t="shared" ref="AA11:AB11" si="3">SUM(AA6:AA10)</f>
        <v>15000</v>
      </c>
      <c r="AB11" s="89">
        <f t="shared" si="3"/>
        <v>48400</v>
      </c>
      <c r="AC11" s="90"/>
      <c r="AD11" s="72" t="s">
        <v>159</v>
      </c>
      <c r="AE11" s="88">
        <f>SUM(AE6:AE10)</f>
        <v>12000</v>
      </c>
      <c r="AF11" s="89">
        <f>SUM(AF6:AF9)</f>
        <v>57800</v>
      </c>
      <c r="AG11" s="21"/>
      <c r="AH11" s="72" t="s">
        <v>160</v>
      </c>
      <c r="AI11" s="88">
        <f>SUM(AI6:AI8)</f>
        <v>0</v>
      </c>
      <c r="AJ11" s="89">
        <f>SUM(AJ6:AJ9)</f>
        <v>4700</v>
      </c>
      <c r="AK11" s="67"/>
      <c r="AL11" s="72" t="s">
        <v>162</v>
      </c>
      <c r="AM11" s="88">
        <f t="shared" ref="AM11:AN11" si="4">SUM(AM6:AM10)</f>
        <v>0</v>
      </c>
      <c r="AN11" s="89">
        <f t="shared" si="4"/>
        <v>0</v>
      </c>
      <c r="AO11" s="68"/>
      <c r="AP11" s="69"/>
    </row>
    <row r="12">
      <c r="A12" s="30" t="s">
        <v>163</v>
      </c>
      <c r="B12" s="70">
        <f>-$F$30</f>
        <v>129.408</v>
      </c>
      <c r="C12" s="35"/>
      <c r="D12" s="19"/>
      <c r="E12" s="50" t="s">
        <v>164</v>
      </c>
      <c r="F12" s="37" t="s">
        <v>166</v>
      </c>
      <c r="G12" s="37" t="s">
        <v>167</v>
      </c>
      <c r="H12" s="38" t="s">
        <v>168</v>
      </c>
      <c r="I12" s="21"/>
      <c r="J12" s="50" t="s">
        <v>169</v>
      </c>
      <c r="K12" s="38" t="s">
        <v>22</v>
      </c>
      <c r="L12" s="21"/>
      <c r="M12" s="21"/>
      <c r="N12" s="19"/>
      <c r="O12" s="21"/>
      <c r="P12" s="21"/>
      <c r="Q12" s="21"/>
      <c r="R12" s="21"/>
      <c r="S12" s="21"/>
      <c r="T12" s="21"/>
      <c r="U12" s="21"/>
      <c r="V12" s="21"/>
      <c r="W12" s="21"/>
      <c r="X12" s="22"/>
      <c r="Y12" s="28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9"/>
      <c r="AP12" s="23"/>
    </row>
    <row r="13">
      <c r="A13" s="30" t="s">
        <v>180</v>
      </c>
      <c r="B13" s="70">
        <f>-$F$31</f>
        <v>151.14</v>
      </c>
      <c r="C13" s="91"/>
      <c r="D13" s="92"/>
      <c r="E13" s="93" t="s">
        <v>35</v>
      </c>
      <c r="F13" s="63">
        <v>10.0</v>
      </c>
      <c r="G13" s="81">
        <f>(AA30*AM15)+(AA31*AM16)+(AA32*AM17)</f>
        <v>-0.045</v>
      </c>
      <c r="H13" s="64" t="s">
        <v>84</v>
      </c>
      <c r="I13" s="21"/>
      <c r="J13" s="62" t="s">
        <v>187</v>
      </c>
      <c r="K13" s="96">
        <f>'Simple Inputs'!$E$10</f>
        <v>0.029</v>
      </c>
      <c r="L13" s="21"/>
      <c r="M13" s="21"/>
      <c r="N13" s="19"/>
      <c r="O13" s="42" t="s">
        <v>189</v>
      </c>
      <c r="P13" s="90"/>
      <c r="Q13" s="67"/>
      <c r="R13" s="22"/>
      <c r="S13" s="22"/>
      <c r="T13" s="42" t="s">
        <v>190</v>
      </c>
      <c r="U13" s="43"/>
      <c r="V13" s="22"/>
      <c r="W13" s="22"/>
      <c r="X13" s="22"/>
      <c r="Y13" s="28"/>
      <c r="Z13" s="42" t="s">
        <v>191</v>
      </c>
      <c r="AA13" s="22"/>
      <c r="AB13" s="22"/>
      <c r="AC13" s="22"/>
      <c r="AD13" s="42" t="s">
        <v>193</v>
      </c>
      <c r="AE13" s="22"/>
      <c r="AF13" s="22"/>
      <c r="AG13" s="22"/>
      <c r="AH13" s="42" t="s">
        <v>197</v>
      </c>
      <c r="AI13" s="22"/>
      <c r="AJ13" s="22"/>
      <c r="AK13" s="21"/>
      <c r="AL13" s="42" t="s">
        <v>199</v>
      </c>
      <c r="AM13" s="22"/>
      <c r="AN13" s="22"/>
      <c r="AO13" s="29"/>
      <c r="AP13" s="23"/>
    </row>
    <row r="14">
      <c r="A14" s="99" t="s">
        <v>200</v>
      </c>
      <c r="B14" s="100">
        <f>$F$32</f>
        <v>30304.23797</v>
      </c>
      <c r="C14" s="91"/>
      <c r="D14" s="92"/>
      <c r="E14" s="101" t="s">
        <v>37</v>
      </c>
      <c r="F14" s="84">
        <v>150.0</v>
      </c>
      <c r="G14" s="102">
        <f>(AB$30*AN15)+(AB$31*AN16)+(AB$32*AN17)+(AB$33*AN18)</f>
        <v>-2.28378</v>
      </c>
      <c r="H14" s="103">
        <f>(L8+G14)/L8</f>
        <v>0.86558093</v>
      </c>
      <c r="I14" s="21"/>
      <c r="J14" s="101" t="s">
        <v>211</v>
      </c>
      <c r="K14" s="104">
        <f>'Simple Inputs'!$E$11</f>
        <v>0.3</v>
      </c>
      <c r="L14" s="21"/>
      <c r="M14" s="21"/>
      <c r="N14" s="19"/>
      <c r="O14" s="50" t="s">
        <v>104</v>
      </c>
      <c r="P14" s="37" t="s">
        <v>35</v>
      </c>
      <c r="Q14" s="37" t="s">
        <v>37</v>
      </c>
      <c r="R14" s="38" t="s">
        <v>215</v>
      </c>
      <c r="S14" s="22"/>
      <c r="T14" s="105" t="s">
        <v>104</v>
      </c>
      <c r="U14" s="37" t="s">
        <v>35</v>
      </c>
      <c r="V14" s="37" t="s">
        <v>37</v>
      </c>
      <c r="W14" s="38" t="s">
        <v>215</v>
      </c>
      <c r="X14" s="22"/>
      <c r="Y14" s="28"/>
      <c r="Z14" s="50" t="s">
        <v>73</v>
      </c>
      <c r="AA14" s="37" t="s">
        <v>35</v>
      </c>
      <c r="AB14" s="38" t="s">
        <v>37</v>
      </c>
      <c r="AC14" s="43"/>
      <c r="AD14" s="50" t="s">
        <v>73</v>
      </c>
      <c r="AE14" s="37" t="s">
        <v>35</v>
      </c>
      <c r="AF14" s="38" t="s">
        <v>37</v>
      </c>
      <c r="AG14" s="21"/>
      <c r="AH14" s="50" t="s">
        <v>73</v>
      </c>
      <c r="AI14" s="37" t="s">
        <v>35</v>
      </c>
      <c r="AJ14" s="38" t="s">
        <v>37</v>
      </c>
      <c r="AK14" s="21"/>
      <c r="AL14" s="50" t="s">
        <v>73</v>
      </c>
      <c r="AM14" s="37" t="s">
        <v>35</v>
      </c>
      <c r="AN14" s="38" t="s">
        <v>37</v>
      </c>
      <c r="AO14" s="29"/>
      <c r="AP14" s="23"/>
    </row>
    <row r="15">
      <c r="A15" s="106" t="s">
        <v>221</v>
      </c>
      <c r="B15" s="107">
        <f>$F$36</f>
        <v>58361.87563</v>
      </c>
      <c r="D15" s="19"/>
      <c r="E15" s="21"/>
      <c r="F15" s="21"/>
      <c r="G15" s="21"/>
      <c r="H15" s="21"/>
      <c r="I15" s="21"/>
      <c r="J15" s="21"/>
      <c r="K15" s="21"/>
      <c r="L15" s="21"/>
      <c r="M15" s="21"/>
      <c r="N15" s="19"/>
      <c r="O15" s="62" t="s">
        <v>121</v>
      </c>
      <c r="P15" s="108">
        <v>0.015</v>
      </c>
      <c r="Q15" s="108">
        <v>0.0057</v>
      </c>
      <c r="R15" s="96">
        <f t="shared" ref="R15:R18" si="9">SUM(P15:Q15)</f>
        <v>0.0207</v>
      </c>
      <c r="S15" s="22"/>
      <c r="T15" s="62" t="s">
        <v>121</v>
      </c>
      <c r="U15" s="59">
        <f>(P24*P6)</f>
        <v>3438.72</v>
      </c>
      <c r="V15" s="59">
        <f t="shared" ref="V15:V18" si="10">Q24*$P6</f>
        <v>54.4464</v>
      </c>
      <c r="W15" s="87">
        <f t="shared" ref="W15:W18" si="11">SUM(U15:V15)</f>
        <v>3493.1664</v>
      </c>
      <c r="X15" s="22"/>
      <c r="Y15" s="28"/>
      <c r="Z15" s="62" t="s">
        <v>92</v>
      </c>
      <c r="AA15" s="109">
        <f t="shared" ref="AA15:AB15" si="5">AA6*$AF$29*-1</f>
        <v>-0.0051</v>
      </c>
      <c r="AB15" s="87">
        <f t="shared" si="5"/>
        <v>-0.02</v>
      </c>
      <c r="AC15" s="110"/>
      <c r="AD15" s="62" t="s">
        <v>92</v>
      </c>
      <c r="AE15" s="109">
        <f t="shared" ref="AE15:AF15" si="6">AE6*$AF$32*-1</f>
        <v>-0.0215</v>
      </c>
      <c r="AF15" s="61">
        <f t="shared" si="6"/>
        <v>-0.125</v>
      </c>
      <c r="AG15" s="21"/>
      <c r="AH15" s="62" t="s">
        <v>92</v>
      </c>
      <c r="AI15" s="59">
        <f t="shared" ref="AI15:AJ15" si="7">-(AI6*$AF$30+AM6*$AF$31)</f>
        <v>0</v>
      </c>
      <c r="AJ15" s="87">
        <f t="shared" si="7"/>
        <v>0</v>
      </c>
      <c r="AK15" s="59"/>
      <c r="AL15" s="62" t="s">
        <v>92</v>
      </c>
      <c r="AM15" s="109">
        <f t="shared" ref="AM15:AN15" si="8">AI15+AE15+AA15</f>
        <v>-0.0266</v>
      </c>
      <c r="AN15" s="111">
        <f t="shared" si="8"/>
        <v>-0.145</v>
      </c>
      <c r="AO15" s="112"/>
      <c r="AP15" s="113"/>
    </row>
    <row r="16">
      <c r="A16" s="30" t="s">
        <v>237</v>
      </c>
      <c r="B16" s="114">
        <f>$F$37</f>
        <v>0.6582207481</v>
      </c>
      <c r="C16" s="35"/>
      <c r="D16" s="19"/>
      <c r="E16" s="42" t="s">
        <v>241</v>
      </c>
      <c r="F16" s="21"/>
      <c r="G16" s="21"/>
      <c r="H16" s="21"/>
      <c r="I16" s="21"/>
      <c r="J16" s="21"/>
      <c r="K16" s="21"/>
      <c r="L16" s="21"/>
      <c r="M16" s="21"/>
      <c r="N16" s="19"/>
      <c r="O16" s="62" t="s">
        <v>124</v>
      </c>
      <c r="P16" s="108">
        <v>0.0045</v>
      </c>
      <c r="Q16" s="108">
        <v>0.0018</v>
      </c>
      <c r="R16" s="96">
        <f t="shared" si="9"/>
        <v>0.0063</v>
      </c>
      <c r="S16" s="22"/>
      <c r="T16" s="62" t="s">
        <v>124</v>
      </c>
      <c r="U16" s="59">
        <f t="shared" ref="U16:U18" si="16">P25*P7</f>
        <v>2586.816</v>
      </c>
      <c r="V16" s="59">
        <f t="shared" si="10"/>
        <v>43.1136</v>
      </c>
      <c r="W16" s="87">
        <f t="shared" si="11"/>
        <v>2629.9296</v>
      </c>
      <c r="X16" s="22"/>
      <c r="Y16" s="28"/>
      <c r="Z16" s="62" t="s">
        <v>113</v>
      </c>
      <c r="AA16" s="109">
        <f t="shared" ref="AA16:AB16" si="12">AA7*$AF$29*-1</f>
        <v>-0.0046</v>
      </c>
      <c r="AB16" s="61">
        <f t="shared" si="12"/>
        <v>-0.0014</v>
      </c>
      <c r="AC16" s="110"/>
      <c r="AD16" s="62" t="s">
        <v>113</v>
      </c>
      <c r="AE16" s="109">
        <f t="shared" ref="AE16:AF16" si="13">AE7*$AF$32*-1</f>
        <v>-0.026</v>
      </c>
      <c r="AF16" s="61">
        <f t="shared" si="13"/>
        <v>-0.0235</v>
      </c>
      <c r="AG16" s="21"/>
      <c r="AH16" s="62" t="s">
        <v>113</v>
      </c>
      <c r="AI16" s="59">
        <f t="shared" ref="AI16:AJ16" si="14">-(AI7*$AF$30+AM7*$AF$31)</f>
        <v>0</v>
      </c>
      <c r="AJ16" s="115">
        <f t="shared" si="14"/>
        <v>-0.005875</v>
      </c>
      <c r="AK16" s="59"/>
      <c r="AL16" s="62" t="s">
        <v>113</v>
      </c>
      <c r="AM16" s="109">
        <f t="shared" ref="AM16:AN16" si="15">AI16+AE16+AA16</f>
        <v>-0.0306</v>
      </c>
      <c r="AN16" s="115">
        <f t="shared" si="15"/>
        <v>-0.030775</v>
      </c>
      <c r="AO16" s="116"/>
      <c r="AP16" s="117"/>
    </row>
    <row r="17">
      <c r="A17" s="118" t="s">
        <v>252</v>
      </c>
      <c r="B17" s="119">
        <f>$F$40</f>
        <v>19259.41896</v>
      </c>
      <c r="C17" s="35"/>
      <c r="D17" s="19"/>
      <c r="E17" s="50" t="s">
        <v>255</v>
      </c>
      <c r="F17" s="37" t="s">
        <v>256</v>
      </c>
      <c r="G17" s="37" t="s">
        <v>257</v>
      </c>
      <c r="H17" s="37" t="s">
        <v>258</v>
      </c>
      <c r="I17" s="37" t="s">
        <v>145</v>
      </c>
      <c r="J17" s="37" t="s">
        <v>259</v>
      </c>
      <c r="K17" s="38" t="s">
        <v>260</v>
      </c>
      <c r="L17" s="21"/>
      <c r="M17" s="21"/>
      <c r="N17" s="19"/>
      <c r="O17" s="62" t="s">
        <v>125</v>
      </c>
      <c r="P17" s="108">
        <v>0.0015</v>
      </c>
      <c r="Q17" s="108">
        <v>6.0E-4</v>
      </c>
      <c r="R17" s="96">
        <f t="shared" si="9"/>
        <v>0.0021</v>
      </c>
      <c r="S17" s="22"/>
      <c r="T17" s="62" t="s">
        <v>125</v>
      </c>
      <c r="U17" s="59">
        <f t="shared" si="16"/>
        <v>1726.272</v>
      </c>
      <c r="V17" s="59">
        <f t="shared" si="10"/>
        <v>28.7712</v>
      </c>
      <c r="W17" s="87">
        <f t="shared" si="11"/>
        <v>1755.0432</v>
      </c>
      <c r="X17" s="22"/>
      <c r="Y17" s="28"/>
      <c r="Z17" s="62" t="s">
        <v>261</v>
      </c>
      <c r="AA17" s="109">
        <f t="shared" ref="AA17:AB17" si="17">AA8*$AF$29*-1</f>
        <v>-0.0053</v>
      </c>
      <c r="AB17" s="111">
        <f t="shared" si="17"/>
        <v>-0.014</v>
      </c>
      <c r="AC17" s="110"/>
      <c r="AD17" s="62" t="s">
        <v>110</v>
      </c>
      <c r="AE17" s="109">
        <f t="shared" ref="AE17:AF17" si="18">AE8*$AF$32*-1</f>
        <v>-0.0125</v>
      </c>
      <c r="AF17" s="61">
        <f t="shared" si="18"/>
        <v>-0.0305</v>
      </c>
      <c r="AG17" s="21"/>
      <c r="AH17" s="62" t="s">
        <v>110</v>
      </c>
      <c r="AI17" s="59">
        <f t="shared" ref="AI17:AJ17" si="19">-(AI8*$AF$30+AM8*$AF$31)</f>
        <v>0</v>
      </c>
      <c r="AJ17" s="87">
        <f t="shared" si="19"/>
        <v>0</v>
      </c>
      <c r="AK17" s="59"/>
      <c r="AL17" s="62" t="s">
        <v>110</v>
      </c>
      <c r="AM17" s="109">
        <f t="shared" ref="AM17:AN17" si="20">AI17+AE17+AA17</f>
        <v>-0.0178</v>
      </c>
      <c r="AN17" s="61">
        <f t="shared" si="20"/>
        <v>-0.0445</v>
      </c>
      <c r="AO17" s="120"/>
      <c r="AP17" s="121"/>
    </row>
    <row r="18">
      <c r="A18" s="21"/>
      <c r="B18" s="21"/>
      <c r="C18" s="35"/>
      <c r="D18" s="19"/>
      <c r="E18" s="62" t="s">
        <v>269</v>
      </c>
      <c r="F18" s="63">
        <v>0.0</v>
      </c>
      <c r="G18" s="59">
        <v>0.0</v>
      </c>
      <c r="H18" s="59">
        <v>0.0</v>
      </c>
      <c r="I18" s="59">
        <v>0.0</v>
      </c>
      <c r="J18" s="59">
        <f>F7*G13</f>
        <v>-5184</v>
      </c>
      <c r="K18" s="87">
        <f t="shared" ref="K18:K21" si="21">SUM(H18, I18, J18)</f>
        <v>-5184</v>
      </c>
      <c r="L18" s="21"/>
      <c r="M18" s="21"/>
      <c r="N18" s="19"/>
      <c r="O18" s="62" t="s">
        <v>127</v>
      </c>
      <c r="P18" s="108">
        <v>6.0E-4</v>
      </c>
      <c r="Q18" s="108">
        <v>3.0E-4</v>
      </c>
      <c r="R18" s="96">
        <f t="shared" si="9"/>
        <v>0.0009</v>
      </c>
      <c r="S18" s="22"/>
      <c r="T18" s="62" t="s">
        <v>127</v>
      </c>
      <c r="U18" s="59">
        <f t="shared" si="16"/>
        <v>1243.4688</v>
      </c>
      <c r="V18" s="59">
        <f t="shared" si="10"/>
        <v>25.9056</v>
      </c>
      <c r="W18" s="87">
        <f t="shared" si="11"/>
        <v>1269.3744</v>
      </c>
      <c r="X18" s="22"/>
      <c r="Y18" s="28"/>
      <c r="Z18" s="62" t="s">
        <v>135</v>
      </c>
      <c r="AA18" s="81" t="s">
        <v>84</v>
      </c>
      <c r="AB18" s="111">
        <f>AB9*$AF$29*-1</f>
        <v>-0.013</v>
      </c>
      <c r="AC18" s="110"/>
      <c r="AD18" s="62" t="s">
        <v>135</v>
      </c>
      <c r="AE18" s="81" t="s">
        <v>84</v>
      </c>
      <c r="AF18" s="87">
        <f>AF9*$AF$32*-1</f>
        <v>-0.11</v>
      </c>
      <c r="AG18" s="21"/>
      <c r="AH18" s="62" t="s">
        <v>135</v>
      </c>
      <c r="AI18" s="81" t="s">
        <v>84</v>
      </c>
      <c r="AJ18" s="87">
        <f>-(AJ9*$AF$30+AN9*$AF$31)</f>
        <v>0</v>
      </c>
      <c r="AK18" s="59"/>
      <c r="AL18" s="62" t="s">
        <v>135</v>
      </c>
      <c r="AM18" s="81" t="s">
        <v>84</v>
      </c>
      <c r="AN18" s="111">
        <f>AJ18+AF18+AB18</f>
        <v>-0.123</v>
      </c>
      <c r="AO18" s="112"/>
      <c r="AP18" s="113"/>
    </row>
    <row r="19">
      <c r="A19" s="21"/>
      <c r="B19" s="21"/>
      <c r="C19" s="35"/>
      <c r="D19" s="19"/>
      <c r="E19" s="62" t="s">
        <v>283</v>
      </c>
      <c r="F19" s="55">
        <f>G7</f>
        <v>4080</v>
      </c>
      <c r="G19" s="59">
        <f>L8</f>
        <v>16.99</v>
      </c>
      <c r="H19" s="59">
        <f t="shared" ref="H19:H21" si="24">G19*F19</f>
        <v>69319.2</v>
      </c>
      <c r="I19" s="59">
        <f>SUM(H19*K13*-1, $K$14*F19*-1)</f>
        <v>-3234.2568</v>
      </c>
      <c r="J19" s="59">
        <f>G14*G7</f>
        <v>-9317.8224</v>
      </c>
      <c r="K19" s="87">
        <f t="shared" si="21"/>
        <v>56767.1208</v>
      </c>
      <c r="L19" s="21"/>
      <c r="M19" s="21"/>
      <c r="N19" s="19"/>
      <c r="O19" s="72" t="s">
        <v>215</v>
      </c>
      <c r="P19" s="122">
        <f t="shared" ref="P19:R19" si="22">SUM(P15:P18)</f>
        <v>0.0216</v>
      </c>
      <c r="Q19" s="122">
        <f t="shared" si="22"/>
        <v>0.0084</v>
      </c>
      <c r="R19" s="123">
        <f t="shared" si="22"/>
        <v>0.03</v>
      </c>
      <c r="S19" s="22"/>
      <c r="T19" s="72" t="s">
        <v>215</v>
      </c>
      <c r="U19" s="78">
        <f t="shared" ref="U19:W19" si="23">SUM(U15:U18)</f>
        <v>8995.2768</v>
      </c>
      <c r="V19" s="78">
        <f t="shared" si="23"/>
        <v>152.2368</v>
      </c>
      <c r="W19" s="104">
        <f t="shared" si="23"/>
        <v>9147.5136</v>
      </c>
      <c r="X19" s="22"/>
      <c r="Y19" s="28"/>
      <c r="Z19" s="62" t="s">
        <v>151</v>
      </c>
      <c r="AA19" s="81" t="s">
        <v>84</v>
      </c>
      <c r="AB19" s="61" t="s">
        <v>84</v>
      </c>
      <c r="AC19" s="110"/>
      <c r="AD19" s="62" t="s">
        <v>153</v>
      </c>
      <c r="AE19" s="81" t="s">
        <v>84</v>
      </c>
      <c r="AF19" s="87" t="s">
        <v>84</v>
      </c>
      <c r="AG19" s="21"/>
      <c r="AH19" s="62" t="s">
        <v>153</v>
      </c>
      <c r="AI19" s="81" t="s">
        <v>84</v>
      </c>
      <c r="AJ19" s="87" t="s">
        <v>84</v>
      </c>
      <c r="AK19" s="59"/>
      <c r="AL19" s="62" t="s">
        <v>153</v>
      </c>
      <c r="AM19" s="81" t="s">
        <v>84</v>
      </c>
      <c r="AN19" s="87" t="s">
        <v>84</v>
      </c>
      <c r="AO19" s="124"/>
      <c r="AP19" s="125"/>
    </row>
    <row r="20">
      <c r="A20" s="21"/>
      <c r="B20" s="21"/>
      <c r="C20" s="91"/>
      <c r="D20" s="92"/>
      <c r="E20" s="93" t="s">
        <v>294</v>
      </c>
      <c r="F20" s="55">
        <f>G9</f>
        <v>60</v>
      </c>
      <c r="G20" s="59">
        <f>'Simple Inputs'!$E$14</f>
        <v>169.99</v>
      </c>
      <c r="H20" s="59">
        <f t="shared" si="24"/>
        <v>10199.4</v>
      </c>
      <c r="I20" s="59">
        <f>SUM(H20*K13*-1, $K$14*F20*-1)</f>
        <v>-313.7826</v>
      </c>
      <c r="J20" s="59">
        <f>G14*G8</f>
        <v>-1644.3216</v>
      </c>
      <c r="K20" s="87">
        <f t="shared" si="21"/>
        <v>8241.2958</v>
      </c>
      <c r="L20" s="21"/>
      <c r="M20" s="21"/>
      <c r="N20" s="127"/>
      <c r="O20" s="128"/>
      <c r="P20" s="22"/>
      <c r="Q20" s="22"/>
      <c r="R20" s="22"/>
      <c r="S20" s="22"/>
      <c r="T20" s="21"/>
      <c r="U20" s="21"/>
      <c r="V20" s="21"/>
      <c r="W20" s="21"/>
      <c r="X20" s="22"/>
      <c r="Y20" s="28"/>
      <c r="Z20" s="72" t="s">
        <v>298</v>
      </c>
      <c r="AA20" s="129">
        <f>SUM(AA15:AA17)</f>
        <v>-0.015</v>
      </c>
      <c r="AB20" s="130">
        <f>SUM(AB15:AB19)</f>
        <v>-0.0484</v>
      </c>
      <c r="AC20" s="59"/>
      <c r="AD20" s="72" t="s">
        <v>300</v>
      </c>
      <c r="AE20" s="129">
        <f>SUM(AE15:AE17)</f>
        <v>-0.06</v>
      </c>
      <c r="AF20" s="131">
        <f>SUM(AF15:AF18)</f>
        <v>-0.289</v>
      </c>
      <c r="AG20" s="21"/>
      <c r="AH20" s="72" t="s">
        <v>303</v>
      </c>
      <c r="AI20" s="132">
        <f>SUM(AI15:AI17)</f>
        <v>0</v>
      </c>
      <c r="AJ20" s="133">
        <f>SUM(AJ15:AJ18)</f>
        <v>-0.005875</v>
      </c>
      <c r="AK20" s="59"/>
      <c r="AL20" s="72" t="s">
        <v>309</v>
      </c>
      <c r="AM20" s="134">
        <f>SUM(AM15:AM17)</f>
        <v>-0.075</v>
      </c>
      <c r="AN20" s="135">
        <f>SUM(AN15:AN18)</f>
        <v>-0.343275</v>
      </c>
      <c r="AO20" s="116"/>
      <c r="AP20" s="117"/>
    </row>
    <row r="21">
      <c r="A21" s="21"/>
      <c r="B21" s="21"/>
      <c r="C21" s="91"/>
      <c r="D21" s="92"/>
      <c r="E21" s="93" t="s">
        <v>317</v>
      </c>
      <c r="F21" s="136">
        <f>R28</f>
        <v>2528.64</v>
      </c>
      <c r="G21" s="59">
        <f>W19/R28</f>
        <v>3.617562642</v>
      </c>
      <c r="H21" s="59">
        <f t="shared" si="24"/>
        <v>9147.5136</v>
      </c>
      <c r="I21" s="59">
        <f>SUM(H21*K13*-1, $K$14*F21*-1)</f>
        <v>-1023.869894</v>
      </c>
      <c r="J21" s="59">
        <f>SUMPRODUCT($P$24:$P$27,$O$6:$O$9)*$AA$37+SUMPRODUCT($Q$24:$Q$27,$O$6:$O$9)*$AB$37</f>
        <v>-159.1292842</v>
      </c>
      <c r="K21" s="87">
        <f t="shared" si="21"/>
        <v>7964.514421</v>
      </c>
      <c r="L21" s="21"/>
      <c r="M21" s="21"/>
      <c r="N21" s="19"/>
      <c r="O21" s="21"/>
      <c r="P21" s="21"/>
      <c r="Q21" s="21"/>
      <c r="R21" s="21"/>
      <c r="S21" s="21"/>
      <c r="T21" s="22"/>
      <c r="U21" s="22"/>
      <c r="V21" s="22"/>
      <c r="W21" s="22"/>
      <c r="X21" s="22"/>
      <c r="Y21" s="28"/>
      <c r="Z21" s="21"/>
      <c r="AA21" s="21"/>
      <c r="AB21" s="21"/>
      <c r="AC21" s="21"/>
      <c r="AD21" s="21"/>
      <c r="AE21" s="21"/>
      <c r="AF21" s="21"/>
      <c r="AG21" s="22"/>
      <c r="AH21" s="22"/>
      <c r="AI21" s="22"/>
      <c r="AJ21" s="22"/>
      <c r="AK21" s="22"/>
      <c r="AL21" s="21"/>
      <c r="AM21" s="21"/>
      <c r="AN21" s="21"/>
      <c r="AO21" s="29"/>
      <c r="AP21" s="23"/>
    </row>
    <row r="22">
      <c r="A22" s="21"/>
      <c r="B22" s="21"/>
      <c r="C22" s="91"/>
      <c r="D22" s="92"/>
      <c r="E22" s="137" t="s">
        <v>336</v>
      </c>
      <c r="F22" s="138">
        <f>SUM(F19:F21)</f>
        <v>6668.64</v>
      </c>
      <c r="G22" s="139"/>
      <c r="H22" s="140">
        <f>SUM(H19:H21)</f>
        <v>88666.1136</v>
      </c>
      <c r="I22" s="141">
        <f t="shared" ref="I22:K22" si="25">SUM(I18:I21)</f>
        <v>-4571.909294</v>
      </c>
      <c r="J22" s="141">
        <f t="shared" si="25"/>
        <v>-16305.27328</v>
      </c>
      <c r="K22" s="142">
        <f t="shared" si="25"/>
        <v>67788.93102</v>
      </c>
      <c r="L22" s="21"/>
      <c r="M22" s="21"/>
      <c r="N22" s="19"/>
      <c r="O22" s="42" t="s">
        <v>346</v>
      </c>
      <c r="P22" s="43"/>
      <c r="Q22" s="22"/>
      <c r="R22" s="22"/>
      <c r="S22" s="22"/>
      <c r="T22" s="42" t="s">
        <v>347</v>
      </c>
      <c r="U22" s="43"/>
      <c r="V22" s="22"/>
      <c r="W22" s="22"/>
      <c r="X22" s="22"/>
      <c r="Y22" s="28"/>
      <c r="Z22" s="143" t="s">
        <v>350</v>
      </c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29"/>
      <c r="AP22" s="23"/>
    </row>
    <row r="23">
      <c r="A23" s="21"/>
      <c r="B23" s="21"/>
      <c r="D23" s="19"/>
      <c r="E23" s="21"/>
      <c r="F23" s="21"/>
      <c r="G23" s="21"/>
      <c r="H23" s="21"/>
      <c r="I23" s="21"/>
      <c r="J23" s="21"/>
      <c r="K23" s="21"/>
      <c r="L23" s="21"/>
      <c r="M23" s="145"/>
      <c r="N23" s="146"/>
      <c r="O23" s="147" t="s">
        <v>104</v>
      </c>
      <c r="P23" s="37" t="s">
        <v>35</v>
      </c>
      <c r="Q23" s="37" t="s">
        <v>37</v>
      </c>
      <c r="R23" s="38" t="s">
        <v>215</v>
      </c>
      <c r="S23" s="22"/>
      <c r="T23" s="50" t="s">
        <v>104</v>
      </c>
      <c r="U23" s="37" t="s">
        <v>35</v>
      </c>
      <c r="V23" s="37" t="s">
        <v>37</v>
      </c>
      <c r="W23" s="38" t="s">
        <v>215</v>
      </c>
      <c r="X23" s="22"/>
      <c r="Y23" s="28"/>
      <c r="Z23" s="148" t="s">
        <v>104</v>
      </c>
      <c r="AA23" s="149" t="s">
        <v>364</v>
      </c>
      <c r="AB23" s="149" t="s">
        <v>367</v>
      </c>
      <c r="AC23" s="149" t="s">
        <v>368</v>
      </c>
      <c r="AD23" s="149" t="s">
        <v>369</v>
      </c>
      <c r="AE23" s="149" t="s">
        <v>370</v>
      </c>
      <c r="AF23" s="149" t="s">
        <v>371</v>
      </c>
      <c r="AG23" s="149" t="s">
        <v>372</v>
      </c>
      <c r="AH23" s="149" t="s">
        <v>373</v>
      </c>
      <c r="AI23" s="149" t="s">
        <v>374</v>
      </c>
      <c r="AJ23" s="149" t="s">
        <v>375</v>
      </c>
      <c r="AK23" s="149" t="s">
        <v>376</v>
      </c>
      <c r="AL23" s="149" t="s">
        <v>377</v>
      </c>
      <c r="AM23" s="149" t="s">
        <v>378</v>
      </c>
      <c r="AN23" s="150" t="s">
        <v>379</v>
      </c>
      <c r="AO23" s="29"/>
      <c r="AP23" s="23"/>
    </row>
    <row r="24">
      <c r="A24" s="21"/>
      <c r="B24" s="21"/>
      <c r="C24" s="35"/>
      <c r="D24" s="19"/>
      <c r="E24" s="151" t="s">
        <v>380</v>
      </c>
      <c r="F24" s="144"/>
      <c r="G24" s="144"/>
      <c r="H24" s="144"/>
      <c r="I24" s="144"/>
      <c r="J24" s="21"/>
      <c r="K24" s="21"/>
      <c r="L24" s="21"/>
      <c r="M24" s="21"/>
      <c r="N24" s="127"/>
      <c r="O24" s="152" t="s">
        <v>121</v>
      </c>
      <c r="P24" s="136">
        <f>P15*$F$7</f>
        <v>1728</v>
      </c>
      <c r="Q24" s="136">
        <f>Q15*(G7+G8)</f>
        <v>27.36</v>
      </c>
      <c r="R24" s="153">
        <f t="shared" ref="R24:R27" si="26">SUM(P24:Q24)</f>
        <v>1755.36</v>
      </c>
      <c r="S24" s="22"/>
      <c r="T24" s="62" t="s">
        <v>121</v>
      </c>
      <c r="U24" s="59">
        <f t="shared" ref="U24:U27" si="27">IF(P24 = 0, 0, (P24*($P6*(1-$P$33)-$P$34-($O6*((-1*$G$13)/$AA$36)))))</f>
        <v>2777.39712</v>
      </c>
      <c r="V24" s="59">
        <f t="shared" ref="V24:V27" si="28">IF(Q24 = 0, 0, (Q24*($P6*(1-$P$33)-$P$34-($O6*((-1*$G$14)/$AB$36)))))</f>
        <v>42.57664704</v>
      </c>
      <c r="W24" s="87">
        <f t="shared" ref="W24:W27" si="29">SUM(U24:V24)</f>
        <v>2819.973767</v>
      </c>
      <c r="X24" s="22"/>
      <c r="Y24" s="28"/>
      <c r="Z24" s="154" t="s">
        <v>35</v>
      </c>
      <c r="AA24" s="155">
        <f>$F$7</f>
        <v>115200</v>
      </c>
      <c r="AB24" s="156">
        <f>'Simple Inputs'!$E$21</f>
        <v>1</v>
      </c>
      <c r="AC24" s="157">
        <f t="shared" ref="AC24:AC25" si="30">AA24*AB24</f>
        <v>115200</v>
      </c>
      <c r="AD24" s="158">
        <f>'Simple Inputs'!$E$17</f>
        <v>0.1</v>
      </c>
      <c r="AE24" s="156">
        <f>'Simple Inputs'!$E$18</f>
        <v>2</v>
      </c>
      <c r="AF24" s="157">
        <f t="shared" ref="AF24:AF25" si="31">AC24*AD24*AE24</f>
        <v>23040</v>
      </c>
      <c r="AG24" s="155">
        <f>$F$7</f>
        <v>115200</v>
      </c>
      <c r="AH24" s="156">
        <f>'Simple Inputs'!$E$23</f>
        <v>0.1</v>
      </c>
      <c r="AI24" s="157">
        <f t="shared" ref="AI24:AI25" si="32">AG24*AH24</f>
        <v>11520</v>
      </c>
      <c r="AJ24" s="158">
        <f>'Simple Inputs'!$E$19</f>
        <v>0.1</v>
      </c>
      <c r="AK24" s="156">
        <f>'Simple Inputs'!$E$20</f>
        <v>6</v>
      </c>
      <c r="AL24" s="157">
        <f t="shared" ref="AL24:AL25" si="33">AI24*AJ24*AK24</f>
        <v>6912</v>
      </c>
      <c r="AM24" s="159">
        <f>'Simple Inputs'!$E$38</f>
        <v>0.004</v>
      </c>
      <c r="AN24" s="160">
        <f t="shared" ref="AN24:AN25" si="34">(AF24+AL24)*AM24</f>
        <v>119.808</v>
      </c>
      <c r="AO24" s="29"/>
      <c r="AP24" s="23"/>
    </row>
    <row r="25">
      <c r="A25" s="21"/>
      <c r="B25" s="21"/>
      <c r="C25" s="35"/>
      <c r="D25" s="19"/>
      <c r="E25" s="161" t="s">
        <v>426</v>
      </c>
      <c r="F25" s="162" t="s">
        <v>427</v>
      </c>
      <c r="G25" s="162" t="s">
        <v>430</v>
      </c>
      <c r="H25" s="162" t="s">
        <v>431</v>
      </c>
      <c r="I25" s="163" t="s">
        <v>432</v>
      </c>
      <c r="J25" s="21"/>
      <c r="K25" s="21"/>
      <c r="L25" s="21"/>
      <c r="M25" s="21"/>
      <c r="N25" s="56"/>
      <c r="O25" s="57" t="s">
        <v>124</v>
      </c>
      <c r="P25" s="136">
        <f>P16*F7</f>
        <v>518.4</v>
      </c>
      <c r="Q25" s="136">
        <f>Q16*(G7+G8)</f>
        <v>8.64</v>
      </c>
      <c r="R25" s="153">
        <f t="shared" si="26"/>
        <v>527.04</v>
      </c>
      <c r="S25" s="22"/>
      <c r="T25" s="62" t="s">
        <v>124</v>
      </c>
      <c r="U25" s="59">
        <f t="shared" si="27"/>
        <v>2313.078336</v>
      </c>
      <c r="V25" s="59">
        <f t="shared" si="28"/>
        <v>37.0788768</v>
      </c>
      <c r="W25" s="87">
        <f t="shared" si="29"/>
        <v>2350.157213</v>
      </c>
      <c r="X25" s="22"/>
      <c r="Y25" s="28"/>
      <c r="Z25" s="154" t="s">
        <v>37</v>
      </c>
      <c r="AA25" s="155">
        <f>SUM($G$7:$G$8)</f>
        <v>4800</v>
      </c>
      <c r="AB25" s="156">
        <f>'Simple Inputs'!$E$22</f>
        <v>1</v>
      </c>
      <c r="AC25" s="157">
        <f t="shared" si="30"/>
        <v>4800</v>
      </c>
      <c r="AD25" s="158">
        <f>'Simple Inputs'!$E$17</f>
        <v>0.1</v>
      </c>
      <c r="AE25" s="156">
        <f>'Simple Inputs'!$E$18</f>
        <v>2</v>
      </c>
      <c r="AF25" s="157">
        <f t="shared" si="31"/>
        <v>960</v>
      </c>
      <c r="AG25" s="155">
        <f>SUM($G$7:$G$8)</f>
        <v>4800</v>
      </c>
      <c r="AH25" s="156">
        <f>'Simple Inputs'!$E$24</f>
        <v>0.5</v>
      </c>
      <c r="AI25" s="157">
        <f t="shared" si="32"/>
        <v>2400</v>
      </c>
      <c r="AJ25" s="158">
        <f>'Simple Inputs'!$E$19</f>
        <v>0.1</v>
      </c>
      <c r="AK25" s="156">
        <f>'Simple Inputs'!$E$20</f>
        <v>6</v>
      </c>
      <c r="AL25" s="157">
        <f t="shared" si="33"/>
        <v>1440</v>
      </c>
      <c r="AM25" s="159">
        <f>'Simple Inputs'!$E$39</f>
        <v>0.004</v>
      </c>
      <c r="AN25" s="160">
        <f t="shared" si="34"/>
        <v>9.6</v>
      </c>
      <c r="AO25" s="112"/>
      <c r="AP25" s="113"/>
    </row>
    <row r="26">
      <c r="A26" s="21"/>
      <c r="B26" s="21"/>
      <c r="C26" s="35"/>
      <c r="D26" s="19"/>
      <c r="E26" s="164" t="s">
        <v>258</v>
      </c>
      <c r="F26" s="165">
        <f>$H$22</f>
        <v>88666.1136</v>
      </c>
      <c r="G26" s="165">
        <f t="shared" ref="G26:G32" si="36">F26*12</f>
        <v>1063993.363</v>
      </c>
      <c r="H26" s="166" t="s">
        <v>115</v>
      </c>
      <c r="I26" s="167" t="s">
        <v>434</v>
      </c>
      <c r="J26" s="21"/>
      <c r="K26" s="21"/>
      <c r="L26" s="21"/>
      <c r="M26" s="21"/>
      <c r="N26" s="19"/>
      <c r="O26" s="62" t="s">
        <v>125</v>
      </c>
      <c r="P26" s="136">
        <f t="shared" ref="P26:P27" si="37">P17*$F$7</f>
        <v>172.8</v>
      </c>
      <c r="Q26" s="136">
        <f>Q17*(G7+G8)</f>
        <v>2.88</v>
      </c>
      <c r="R26" s="153">
        <f t="shared" si="26"/>
        <v>175.68</v>
      </c>
      <c r="S26" s="22"/>
      <c r="T26" s="62" t="s">
        <v>125</v>
      </c>
      <c r="U26" s="59">
        <f t="shared" si="27"/>
        <v>1588.370112</v>
      </c>
      <c r="V26" s="59">
        <f t="shared" si="28"/>
        <v>25.2458112</v>
      </c>
      <c r="W26" s="87">
        <f t="shared" si="29"/>
        <v>1613.615923</v>
      </c>
      <c r="X26" s="22"/>
      <c r="Y26" s="28"/>
      <c r="Z26" s="168" t="s">
        <v>215</v>
      </c>
      <c r="AA26" s="169">
        <f>SUM(AA24:AA25)</f>
        <v>120000</v>
      </c>
      <c r="AB26" s="170" t="s">
        <v>84</v>
      </c>
      <c r="AC26" s="171">
        <f>SUM(AC24:AC25)</f>
        <v>120000</v>
      </c>
      <c r="AD26" s="170" t="s">
        <v>84</v>
      </c>
      <c r="AE26" s="170" t="s">
        <v>84</v>
      </c>
      <c r="AF26" s="171">
        <f t="shared" ref="AF26:AG26" si="35">SUM(AF24:AF25)</f>
        <v>24000</v>
      </c>
      <c r="AG26" s="169">
        <f t="shared" si="35"/>
        <v>120000</v>
      </c>
      <c r="AH26" s="170" t="s">
        <v>84</v>
      </c>
      <c r="AI26" s="171">
        <f>SUM(AI24:AI25)</f>
        <v>13920</v>
      </c>
      <c r="AJ26" s="170" t="s">
        <v>84</v>
      </c>
      <c r="AK26" s="170" t="s">
        <v>84</v>
      </c>
      <c r="AL26" s="171">
        <f>SUM(AL24:AL25)</f>
        <v>8352</v>
      </c>
      <c r="AM26" s="170" t="s">
        <v>84</v>
      </c>
      <c r="AN26" s="172">
        <f>SUM(AN24:AN25)</f>
        <v>129.408</v>
      </c>
      <c r="AO26" s="112"/>
      <c r="AP26" s="113"/>
    </row>
    <row r="27">
      <c r="A27" s="21"/>
      <c r="B27" s="21"/>
      <c r="C27" s="35"/>
      <c r="D27" s="19"/>
      <c r="E27" s="164" t="s">
        <v>435</v>
      </c>
      <c r="F27" s="165">
        <f>SUM($S$41,$S$43,$S$45)</f>
        <v>-7368.819036</v>
      </c>
      <c r="G27" s="165">
        <f t="shared" si="36"/>
        <v>-88425.82843</v>
      </c>
      <c r="H27" s="166" t="s">
        <v>436</v>
      </c>
      <c r="I27" s="167" t="s">
        <v>437</v>
      </c>
      <c r="J27" s="21"/>
      <c r="K27" s="21"/>
      <c r="L27" s="21"/>
      <c r="M27" s="21"/>
      <c r="N27" s="19"/>
      <c r="O27" s="62" t="s">
        <v>127</v>
      </c>
      <c r="P27" s="136">
        <f t="shared" si="37"/>
        <v>69.12</v>
      </c>
      <c r="Q27" s="136">
        <f>Q18*(G7+G8)</f>
        <v>1.44</v>
      </c>
      <c r="R27" s="153">
        <f t="shared" si="26"/>
        <v>70.56</v>
      </c>
      <c r="S27" s="22"/>
      <c r="T27" s="62" t="s">
        <v>127</v>
      </c>
      <c r="U27" s="59">
        <f t="shared" si="27"/>
        <v>1157.872205</v>
      </c>
      <c r="V27" s="59">
        <f t="shared" si="28"/>
        <v>22.8953136</v>
      </c>
      <c r="W27" s="87">
        <f t="shared" si="29"/>
        <v>1180.767518</v>
      </c>
      <c r="X27" s="22"/>
      <c r="Y27" s="28"/>
      <c r="AK27" s="110"/>
      <c r="AL27" s="110"/>
      <c r="AM27" s="110"/>
      <c r="AN27" s="110"/>
      <c r="AO27" s="112"/>
      <c r="AP27" s="113"/>
    </row>
    <row r="28">
      <c r="A28" s="21"/>
      <c r="B28" s="21"/>
      <c r="C28" s="35"/>
      <c r="D28" s="19"/>
      <c r="E28" s="164" t="s">
        <v>438</v>
      </c>
      <c r="F28" s="165">
        <f>SUM($S$47:$S$50)</f>
        <v>-4719.070324</v>
      </c>
      <c r="G28" s="165">
        <f t="shared" si="36"/>
        <v>-56628.84389</v>
      </c>
      <c r="H28" s="166" t="s">
        <v>436</v>
      </c>
      <c r="I28" s="167" t="s">
        <v>439</v>
      </c>
      <c r="J28" s="21"/>
      <c r="K28" s="21"/>
      <c r="L28" s="21"/>
      <c r="M28" s="21"/>
      <c r="N28" s="19"/>
      <c r="O28" s="72" t="s">
        <v>215</v>
      </c>
      <c r="P28" s="173">
        <f t="shared" ref="P28:R28" si="38">SUM(P24:P27)</f>
        <v>2488.32</v>
      </c>
      <c r="Q28" s="173">
        <f t="shared" si="38"/>
        <v>40.32</v>
      </c>
      <c r="R28" s="174">
        <f t="shared" si="38"/>
        <v>2528.64</v>
      </c>
      <c r="S28" s="22"/>
      <c r="T28" s="72" t="s">
        <v>215</v>
      </c>
      <c r="U28" s="140">
        <f t="shared" ref="U28:W28" si="39">SUM(U24:U27)</f>
        <v>7836.717773</v>
      </c>
      <c r="V28" s="140">
        <f t="shared" si="39"/>
        <v>127.7966486</v>
      </c>
      <c r="W28" s="142">
        <f t="shared" si="39"/>
        <v>7964.514421</v>
      </c>
      <c r="X28" s="22"/>
      <c r="Y28" s="28"/>
      <c r="Z28" s="42" t="s">
        <v>440</v>
      </c>
      <c r="AA28" s="22"/>
      <c r="AB28" s="22"/>
      <c r="AC28" s="22"/>
      <c r="AD28" s="42" t="s">
        <v>441</v>
      </c>
      <c r="AE28" s="21"/>
      <c r="AF28" s="21"/>
      <c r="AG28" s="21"/>
      <c r="AH28" s="143" t="s">
        <v>442</v>
      </c>
      <c r="AI28" s="144"/>
      <c r="AJ28" s="144"/>
      <c r="AK28" s="110"/>
      <c r="AL28" s="110"/>
      <c r="AM28" s="110"/>
      <c r="AN28" s="110"/>
      <c r="AO28" s="112"/>
      <c r="AP28" s="113"/>
    </row>
    <row r="29">
      <c r="A29" s="21"/>
      <c r="B29" s="21"/>
      <c r="C29" s="35"/>
      <c r="D29" s="19"/>
      <c r="E29" s="164" t="s">
        <v>443</v>
      </c>
      <c r="F29" s="165">
        <f>$J$22*(1+'Simple Inputs'!$E$9)</f>
        <v>-17935.80061</v>
      </c>
      <c r="G29" s="165">
        <f t="shared" si="36"/>
        <v>-215229.6074</v>
      </c>
      <c r="H29" s="166" t="s">
        <v>436</v>
      </c>
      <c r="I29" s="167" t="s">
        <v>437</v>
      </c>
      <c r="J29" s="21"/>
      <c r="K29" s="21"/>
      <c r="L29" s="21"/>
      <c r="M29" s="21"/>
      <c r="N29" s="19"/>
      <c r="O29" s="21"/>
      <c r="P29" s="21"/>
      <c r="Q29" s="21"/>
      <c r="R29" s="21"/>
      <c r="S29" s="175"/>
      <c r="T29" s="21"/>
      <c r="U29" s="21"/>
      <c r="V29" s="21"/>
      <c r="W29" s="21"/>
      <c r="X29" s="22"/>
      <c r="Y29" s="28"/>
      <c r="Z29" s="50" t="s">
        <v>73</v>
      </c>
      <c r="AA29" s="37" t="s">
        <v>444</v>
      </c>
      <c r="AB29" s="38" t="s">
        <v>445</v>
      </c>
      <c r="AC29" s="22"/>
      <c r="AD29" s="176" t="s">
        <v>446</v>
      </c>
      <c r="AE29" s="177" t="s">
        <v>447</v>
      </c>
      <c r="AF29" s="178">
        <f>1/1000000</f>
        <v>0.000001</v>
      </c>
      <c r="AG29" s="22"/>
      <c r="AH29" s="148" t="s">
        <v>448</v>
      </c>
      <c r="AI29" s="162" t="s">
        <v>449</v>
      </c>
      <c r="AJ29" s="163" t="s">
        <v>450</v>
      </c>
      <c r="AK29" s="110"/>
      <c r="AL29" s="110"/>
      <c r="AM29" s="110"/>
      <c r="AN29" s="110"/>
      <c r="AO29" s="112"/>
      <c r="AP29" s="113"/>
    </row>
    <row r="30">
      <c r="A30" s="21"/>
      <c r="B30" s="21"/>
      <c r="C30" s="35"/>
      <c r="D30" s="19"/>
      <c r="E30" s="164" t="s">
        <v>451</v>
      </c>
      <c r="F30" s="165">
        <f>-$AN$26</f>
        <v>-129.408</v>
      </c>
      <c r="G30" s="165">
        <f t="shared" si="36"/>
        <v>-1552.896</v>
      </c>
      <c r="H30" s="166" t="s">
        <v>436</v>
      </c>
      <c r="I30" s="167" t="s">
        <v>437</v>
      </c>
      <c r="J30" s="21"/>
      <c r="K30" s="21"/>
      <c r="L30" s="21"/>
      <c r="M30" s="21"/>
      <c r="N30" s="19"/>
      <c r="O30" s="21"/>
      <c r="P30" s="21"/>
      <c r="Q30" s="21"/>
      <c r="R30" s="21"/>
      <c r="S30" s="22"/>
      <c r="T30" s="22"/>
      <c r="U30" s="22"/>
      <c r="V30" s="22"/>
      <c r="W30" s="22"/>
      <c r="X30" s="179"/>
      <c r="Y30" s="180"/>
      <c r="Z30" s="62" t="s">
        <v>92</v>
      </c>
      <c r="AA30" s="63">
        <v>0.6</v>
      </c>
      <c r="AB30" s="64">
        <v>7.8</v>
      </c>
      <c r="AC30" s="22"/>
      <c r="AD30" s="62" t="s">
        <v>452</v>
      </c>
      <c r="AE30" s="63" t="s">
        <v>453</v>
      </c>
      <c r="AF30" s="181">
        <f>1.25/1000000</f>
        <v>0.00000125</v>
      </c>
      <c r="AG30" s="43"/>
      <c r="AH30" s="154" t="s">
        <v>454</v>
      </c>
      <c r="AI30" s="165">
        <f>'Simple Inputs'!$P$46</f>
        <v>25</v>
      </c>
      <c r="AJ30" s="167" t="s">
        <v>455</v>
      </c>
      <c r="AK30" s="182"/>
      <c r="AL30" s="182"/>
      <c r="AM30" s="182"/>
      <c r="AN30" s="182"/>
      <c r="AO30" s="112"/>
      <c r="AP30" s="113"/>
    </row>
    <row r="31">
      <c r="A31" s="21"/>
      <c r="B31" s="21"/>
      <c r="C31" s="35"/>
      <c r="D31" s="19"/>
      <c r="E31" s="164" t="s">
        <v>456</v>
      </c>
      <c r="F31" s="165">
        <f>-$AI$37</f>
        <v>-151.14</v>
      </c>
      <c r="G31" s="165">
        <f t="shared" si="36"/>
        <v>-1813.68</v>
      </c>
      <c r="H31" s="166" t="s">
        <v>436</v>
      </c>
      <c r="I31" s="167" t="s">
        <v>457</v>
      </c>
      <c r="J31" s="21"/>
      <c r="K31" s="21"/>
      <c r="L31" s="21"/>
      <c r="M31" s="21"/>
      <c r="N31" s="19"/>
      <c r="O31" s="42" t="s">
        <v>145</v>
      </c>
      <c r="P31" s="59"/>
      <c r="Q31" s="21"/>
      <c r="R31" s="21"/>
      <c r="S31" s="22"/>
      <c r="T31" s="42" t="s">
        <v>43</v>
      </c>
      <c r="U31" s="43"/>
      <c r="V31" s="22"/>
      <c r="W31" s="22"/>
      <c r="X31" s="22"/>
      <c r="Y31" s="183"/>
      <c r="Z31" s="62" t="s">
        <v>113</v>
      </c>
      <c r="AA31" s="63">
        <v>0.6</v>
      </c>
      <c r="AB31" s="64">
        <v>7.2</v>
      </c>
      <c r="AC31" s="22"/>
      <c r="AD31" s="62" t="s">
        <v>458</v>
      </c>
      <c r="AE31" s="63" t="s">
        <v>459</v>
      </c>
      <c r="AF31" s="181">
        <f>0.1/1000000</f>
        <v>0.0000001</v>
      </c>
      <c r="AG31" s="110"/>
      <c r="AH31" s="154" t="s">
        <v>460</v>
      </c>
      <c r="AI31" s="165">
        <f>IF('Simple Inputs'!$F$47="Yes",MAX(0,$K$4-'Simple Inputs'!$M$47)*'Simple Inputs'!$N$47,0)</f>
        <v>65</v>
      </c>
      <c r="AJ31" s="167" t="s">
        <v>461</v>
      </c>
      <c r="AK31" s="21"/>
      <c r="AL31" s="21"/>
      <c r="AM31" s="21"/>
      <c r="AN31" s="21"/>
      <c r="AO31" s="29"/>
      <c r="AP31" s="23"/>
    </row>
    <row r="32">
      <c r="A32" s="21"/>
      <c r="B32" s="21"/>
      <c r="C32" s="35"/>
      <c r="D32" s="19"/>
      <c r="E32" s="164" t="s">
        <v>462</v>
      </c>
      <c r="F32" s="165">
        <f>-SUM(F27:F31)</f>
        <v>30304.23797</v>
      </c>
      <c r="G32" s="165">
        <f t="shared" si="36"/>
        <v>363650.8557</v>
      </c>
      <c r="H32" s="166" t="s">
        <v>463</v>
      </c>
      <c r="I32" s="167" t="s">
        <v>464</v>
      </c>
      <c r="J32" s="21"/>
      <c r="K32" s="21"/>
      <c r="L32" s="21"/>
      <c r="M32" s="21"/>
      <c r="N32" s="19"/>
      <c r="O32" s="50" t="s">
        <v>169</v>
      </c>
      <c r="P32" s="38" t="s">
        <v>22</v>
      </c>
      <c r="Q32" s="21"/>
      <c r="R32" s="21"/>
      <c r="S32" s="22"/>
      <c r="T32" s="50" t="s">
        <v>68</v>
      </c>
      <c r="U32" s="38" t="s">
        <v>70</v>
      </c>
      <c r="V32" s="43"/>
      <c r="W32" s="184"/>
      <c r="X32" s="22"/>
      <c r="Y32" s="183"/>
      <c r="Z32" s="62" t="s">
        <v>261</v>
      </c>
      <c r="AA32" s="63">
        <v>0.6</v>
      </c>
      <c r="AB32" s="64">
        <v>6.0</v>
      </c>
      <c r="AC32" s="22"/>
      <c r="AD32" s="83" t="s">
        <v>465</v>
      </c>
      <c r="AE32" s="84" t="s">
        <v>466</v>
      </c>
      <c r="AF32" s="185">
        <v>5.0E-6</v>
      </c>
      <c r="AG32" s="110"/>
      <c r="AH32" s="154" t="s">
        <v>467</v>
      </c>
      <c r="AI32" s="165">
        <f>SUM('Simple Inputs'!$P$48:$P$55)</f>
        <v>0</v>
      </c>
      <c r="AJ32" s="167" t="s">
        <v>468</v>
      </c>
      <c r="AK32" s="21"/>
      <c r="AL32" s="21"/>
      <c r="AM32" s="21"/>
      <c r="AN32" s="21"/>
      <c r="AO32" s="29"/>
      <c r="AP32" s="23"/>
    </row>
    <row r="33">
      <c r="A33" s="21"/>
      <c r="B33" s="21"/>
      <c r="C33" s="35"/>
      <c r="D33" s="19"/>
      <c r="E33" s="164" t="s">
        <v>469</v>
      </c>
      <c r="F33" s="186">
        <f>IFERROR(F32/$K$4,0)</f>
        <v>0.2525353164</v>
      </c>
      <c r="G33" s="186">
        <f t="shared" ref="G33:G35" si="40">F33</f>
        <v>0.2525353164</v>
      </c>
      <c r="H33" s="166" t="s">
        <v>463</v>
      </c>
      <c r="I33" s="167" t="s">
        <v>464</v>
      </c>
      <c r="J33" s="21"/>
      <c r="K33" s="21"/>
      <c r="L33" s="21"/>
      <c r="M33" s="21"/>
      <c r="N33" s="19"/>
      <c r="O33" s="62" t="s">
        <v>187</v>
      </c>
      <c r="P33" s="96">
        <f>'Simple Inputs'!$E$10</f>
        <v>0.029</v>
      </c>
      <c r="Q33" s="21"/>
      <c r="R33" s="21"/>
      <c r="S33" s="22"/>
      <c r="T33" s="57">
        <f>'Simple Inputs'!$E$27</f>
        <v>3</v>
      </c>
      <c r="U33" s="87">
        <f>'Simple Inputs'!$F$27</f>
        <v>1.99</v>
      </c>
      <c r="V33" s="109"/>
      <c r="W33" s="22"/>
      <c r="X33" s="22"/>
      <c r="Y33" s="183"/>
      <c r="Z33" s="62" t="s">
        <v>135</v>
      </c>
      <c r="AA33" s="63" t="s">
        <v>84</v>
      </c>
      <c r="AB33" s="64">
        <v>5.4</v>
      </c>
      <c r="AC33" s="22"/>
      <c r="AD33" s="187" t="s">
        <v>470</v>
      </c>
      <c r="AE33" s="188" t="s">
        <v>471</v>
      </c>
      <c r="AF33" s="21"/>
      <c r="AG33" s="110"/>
      <c r="AH33" s="154" t="s">
        <v>472</v>
      </c>
      <c r="AI33" s="165">
        <f>SUM('Simple Inputs'!$P$56:$P$62)</f>
        <v>20</v>
      </c>
      <c r="AJ33" s="167" t="s">
        <v>468</v>
      </c>
      <c r="AO33" s="29"/>
      <c r="AP33" s="23"/>
    </row>
    <row r="34">
      <c r="A34" s="21"/>
      <c r="B34" s="21"/>
      <c r="C34" s="35"/>
      <c r="D34" s="19"/>
      <c r="E34" s="164" t="s">
        <v>473</v>
      </c>
      <c r="F34" s="186">
        <f>IFERROR(-(F29+F30)/$K$4,0)</f>
        <v>0.1505434051</v>
      </c>
      <c r="G34" s="186">
        <f t="shared" si="40"/>
        <v>0.1505434051</v>
      </c>
      <c r="H34" s="166" t="s">
        <v>463</v>
      </c>
      <c r="I34" s="167" t="s">
        <v>437</v>
      </c>
      <c r="J34" s="21"/>
      <c r="K34" s="21"/>
      <c r="L34" s="21"/>
      <c r="M34" s="21"/>
      <c r="N34" s="92"/>
      <c r="O34" s="101" t="s">
        <v>211</v>
      </c>
      <c r="P34" s="104">
        <f>'Simple Inputs'!$E$11</f>
        <v>0.3</v>
      </c>
      <c r="Q34" s="21"/>
      <c r="R34" s="21"/>
      <c r="S34" s="22"/>
      <c r="T34" s="57">
        <f>'Simple Inputs'!$E$28</f>
        <v>10</v>
      </c>
      <c r="U34" s="87">
        <f>'Simple Inputs'!$F$28</f>
        <v>4.99</v>
      </c>
      <c r="V34" s="109"/>
      <c r="W34" s="22"/>
      <c r="X34" s="22"/>
      <c r="Y34" s="183"/>
      <c r="Z34" s="189" t="s">
        <v>151</v>
      </c>
      <c r="AA34" s="63" t="s">
        <v>84</v>
      </c>
      <c r="AB34" s="64" t="s">
        <v>84</v>
      </c>
      <c r="AC34" s="22"/>
      <c r="AD34" s="184"/>
      <c r="AE34" s="184"/>
      <c r="AF34" s="175"/>
      <c r="AG34" s="110"/>
      <c r="AH34" s="154" t="s">
        <v>474</v>
      </c>
      <c r="AI34" s="165">
        <f>'Simple Inputs'!$P$63</f>
        <v>1.14</v>
      </c>
      <c r="AJ34" s="167" t="s">
        <v>475</v>
      </c>
      <c r="AO34" s="29"/>
      <c r="AP34" s="23"/>
    </row>
    <row r="35">
      <c r="A35" s="21"/>
      <c r="B35" s="21"/>
      <c r="C35" s="35"/>
      <c r="D35" s="19"/>
      <c r="E35" s="164" t="s">
        <v>476</v>
      </c>
      <c r="F35" s="186">
        <f>IFERROR(-F31/$K$4,0)</f>
        <v>0.0012595</v>
      </c>
      <c r="G35" s="186">
        <f t="shared" si="40"/>
        <v>0.0012595</v>
      </c>
      <c r="H35" s="166" t="s">
        <v>463</v>
      </c>
      <c r="I35" s="167" t="s">
        <v>464</v>
      </c>
      <c r="J35" s="21"/>
      <c r="K35" s="21"/>
      <c r="L35" s="21"/>
      <c r="M35" s="21"/>
      <c r="N35" s="19"/>
      <c r="O35" s="21"/>
      <c r="P35" s="21"/>
      <c r="Q35" s="21"/>
      <c r="R35" s="21"/>
      <c r="S35" s="22"/>
      <c r="T35" s="57">
        <f>'Simple Inputs'!$E$29</f>
        <v>25</v>
      </c>
      <c r="U35" s="87">
        <f>'Simple Inputs'!$F$29</f>
        <v>9.99</v>
      </c>
      <c r="V35" s="109"/>
      <c r="W35" s="22"/>
      <c r="X35" s="22"/>
      <c r="Y35" s="183"/>
      <c r="Z35" s="190" t="s">
        <v>477</v>
      </c>
      <c r="AA35" s="43">
        <f t="shared" ref="AA35:AB35" si="41">SUM(AA30:AA34)</f>
        <v>1.8</v>
      </c>
      <c r="AB35" s="191">
        <f t="shared" si="41"/>
        <v>26.4</v>
      </c>
      <c r="AC35" s="22"/>
      <c r="AD35" s="175"/>
      <c r="AE35" s="175"/>
      <c r="AF35" s="175"/>
      <c r="AG35" s="110"/>
      <c r="AH35" s="154" t="s">
        <v>478</v>
      </c>
      <c r="AI35" s="165">
        <f>SUM('Simple Inputs'!$P$64:$P$65)</f>
        <v>40</v>
      </c>
      <c r="AJ35" s="167" t="s">
        <v>479</v>
      </c>
      <c r="AO35" s="124"/>
      <c r="AP35" s="125"/>
    </row>
    <row r="36">
      <c r="A36" s="21"/>
      <c r="B36" s="21"/>
      <c r="C36" s="35"/>
      <c r="D36" s="19"/>
      <c r="E36" s="192" t="s">
        <v>480</v>
      </c>
      <c r="F36" s="193">
        <f>SUM(F26:F31)</f>
        <v>58361.87563</v>
      </c>
      <c r="G36" s="193">
        <f>F36*12</f>
        <v>700342.5075</v>
      </c>
      <c r="H36" s="194" t="s">
        <v>260</v>
      </c>
      <c r="I36" s="195" t="s">
        <v>464</v>
      </c>
      <c r="J36" s="21"/>
      <c r="K36" s="21"/>
      <c r="L36" s="21"/>
      <c r="M36" s="21"/>
      <c r="N36" s="19"/>
      <c r="O36" s="21"/>
      <c r="P36" s="21"/>
      <c r="Q36" s="21"/>
      <c r="R36" s="21"/>
      <c r="S36" s="22"/>
      <c r="T36" s="77">
        <f>'Simple Inputs'!$E$30</f>
        <v>50</v>
      </c>
      <c r="U36" s="104">
        <f>'Simple Inputs'!$F$30</f>
        <v>17.99</v>
      </c>
      <c r="V36" s="109"/>
      <c r="W36" s="22"/>
      <c r="X36" s="22"/>
      <c r="Y36" s="183"/>
      <c r="Z36" s="190" t="s">
        <v>481</v>
      </c>
      <c r="AA36" s="43">
        <f>(AA30*U6)+(AA31*U7)+(AA32*U8)</f>
        <v>5.4</v>
      </c>
      <c r="AB36" s="191">
        <f>(AB30*V6)+(AB31*V7)+(AB32*V8)+(AB33*V9)</f>
        <v>90</v>
      </c>
      <c r="AC36" s="21"/>
      <c r="AD36" s="21"/>
      <c r="AE36" s="21"/>
      <c r="AF36" s="21"/>
      <c r="AG36" s="182"/>
      <c r="AH36" s="154" t="s">
        <v>482</v>
      </c>
      <c r="AI36" s="165">
        <f>SUM('Simple Inputs'!$P$66:$P$67,'Simple Inputs'!$P$71)</f>
        <v>0</v>
      </c>
      <c r="AJ36" s="167" t="s">
        <v>483</v>
      </c>
      <c r="AO36" s="124"/>
      <c r="AP36" s="125"/>
    </row>
    <row r="37">
      <c r="A37" s="21"/>
      <c r="B37" s="21"/>
      <c r="C37" s="35"/>
      <c r="D37" s="19"/>
      <c r="E37" s="164" t="s">
        <v>484</v>
      </c>
      <c r="F37" s="165">
        <f>IFERROR(F36/F26,0)</f>
        <v>0.6582207481</v>
      </c>
      <c r="G37" s="165">
        <f>F37</f>
        <v>0.6582207481</v>
      </c>
      <c r="H37" s="166" t="s">
        <v>463</v>
      </c>
      <c r="I37" s="167" t="s">
        <v>464</v>
      </c>
      <c r="J37" s="21"/>
      <c r="K37" s="21"/>
      <c r="L37" s="21"/>
      <c r="M37" s="21"/>
      <c r="N37" s="19"/>
      <c r="O37" s="21"/>
      <c r="P37" s="21"/>
      <c r="Q37" s="21"/>
      <c r="R37" s="21"/>
      <c r="S37" s="175"/>
      <c r="T37" s="22"/>
      <c r="U37" s="22"/>
      <c r="V37" s="22"/>
      <c r="W37" s="22"/>
      <c r="X37" s="22"/>
      <c r="Y37" s="183"/>
      <c r="Z37" s="196" t="s">
        <v>485</v>
      </c>
      <c r="AA37" s="75">
        <f>$G$13/AA36</f>
        <v>-0.008333333333</v>
      </c>
      <c r="AB37" s="197">
        <f>$G$14/AB36</f>
        <v>-0.02537533333</v>
      </c>
      <c r="AC37" s="21"/>
      <c r="AD37" s="21"/>
      <c r="AE37" s="21"/>
      <c r="AF37" s="21"/>
      <c r="AG37" s="21"/>
      <c r="AH37" s="168" t="s">
        <v>486</v>
      </c>
      <c r="AI37" s="198">
        <f>SUM(AI30:AI36)</f>
        <v>151.14</v>
      </c>
      <c r="AJ37" s="199" t="s">
        <v>487</v>
      </c>
      <c r="AO37" s="124"/>
      <c r="AP37" s="125"/>
    </row>
    <row r="38">
      <c r="A38" s="21"/>
      <c r="B38" s="21"/>
      <c r="C38" s="35"/>
      <c r="D38" s="19"/>
      <c r="E38" s="164" t="s">
        <v>488</v>
      </c>
      <c r="F38" s="165">
        <f>F36/'Simple Inputs'!$E$16</f>
        <v>29180.93781</v>
      </c>
      <c r="G38" s="165">
        <f t="shared" ref="G38:G40" si="42">F38*12</f>
        <v>350171.2538</v>
      </c>
      <c r="H38" s="166" t="s">
        <v>489</v>
      </c>
      <c r="I38" s="167" t="s">
        <v>464</v>
      </c>
      <c r="J38" s="21"/>
      <c r="K38" s="21"/>
      <c r="L38" s="21"/>
      <c r="M38" s="21"/>
      <c r="N38" s="19"/>
      <c r="O38" s="151" t="s">
        <v>490</v>
      </c>
      <c r="P38" s="144"/>
      <c r="Q38" s="144"/>
      <c r="R38" s="144"/>
      <c r="S38" s="200"/>
      <c r="T38" s="201"/>
      <c r="U38" s="22"/>
      <c r="V38" s="22"/>
      <c r="W38" s="22"/>
      <c r="X38" s="22"/>
      <c r="Y38" s="202"/>
      <c r="Z38" s="203"/>
      <c r="AA38" s="204"/>
      <c r="AB38" s="204"/>
      <c r="AC38" s="204"/>
      <c r="AD38" s="204"/>
      <c r="AE38" s="204"/>
      <c r="AF38" s="204"/>
      <c r="AG38" s="204"/>
      <c r="AH38" s="204"/>
      <c r="AI38" s="204"/>
      <c r="AJ38" s="204"/>
      <c r="AK38" s="204"/>
      <c r="AL38" s="204"/>
      <c r="AM38" s="204"/>
      <c r="AN38" s="204"/>
      <c r="AO38" s="205"/>
      <c r="AP38" s="23"/>
    </row>
    <row r="39">
      <c r="A39" s="21"/>
      <c r="B39" s="21"/>
      <c r="C39" s="35"/>
      <c r="D39" s="19"/>
      <c r="E39" s="164" t="s">
        <v>491</v>
      </c>
      <c r="F39" s="165">
        <f>-MAX(0,F38)*'Simple Inputs'!$E$15</f>
        <v>-9921.518857</v>
      </c>
      <c r="G39" s="165">
        <f t="shared" si="42"/>
        <v>-119058.2263</v>
      </c>
      <c r="H39" s="166" t="s">
        <v>489</v>
      </c>
      <c r="I39" s="167" t="s">
        <v>492</v>
      </c>
      <c r="J39" s="21"/>
      <c r="K39" s="21"/>
      <c r="L39" s="21"/>
      <c r="M39" s="21"/>
      <c r="N39" s="19"/>
      <c r="O39" s="161" t="s">
        <v>426</v>
      </c>
      <c r="P39" s="162" t="s">
        <v>493</v>
      </c>
      <c r="Q39" s="162" t="s">
        <v>494</v>
      </c>
      <c r="R39" s="162" t="s">
        <v>495</v>
      </c>
      <c r="S39" s="149" t="s">
        <v>215</v>
      </c>
      <c r="T39" s="150" t="s">
        <v>496</v>
      </c>
      <c r="U39" s="22"/>
      <c r="V39" s="22"/>
      <c r="W39" s="22"/>
      <c r="X39" s="206"/>
      <c r="Y39" s="22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35"/>
      <c r="AP39" s="23"/>
    </row>
    <row r="40">
      <c r="A40" s="21"/>
      <c r="B40" s="21"/>
      <c r="C40" s="35"/>
      <c r="D40" s="19"/>
      <c r="E40" s="207" t="s">
        <v>497</v>
      </c>
      <c r="F40" s="208">
        <f>SUM(F38:F39)</f>
        <v>19259.41896</v>
      </c>
      <c r="G40" s="208">
        <f t="shared" si="42"/>
        <v>231113.0275</v>
      </c>
      <c r="H40" s="209" t="s">
        <v>489</v>
      </c>
      <c r="I40" s="210" t="s">
        <v>464</v>
      </c>
      <c r="J40" s="21"/>
      <c r="K40" s="21"/>
      <c r="L40" s="21"/>
      <c r="M40" s="144"/>
      <c r="N40" s="19"/>
      <c r="O40" s="164" t="s">
        <v>498</v>
      </c>
      <c r="P40" s="165">
        <f>$H$19</f>
        <v>69319.2</v>
      </c>
      <c r="Q40" s="165">
        <f>$H$20</f>
        <v>10199.4</v>
      </c>
      <c r="R40" s="165">
        <f>$H$21</f>
        <v>9147.5136</v>
      </c>
      <c r="S40" s="211">
        <f t="shared" ref="S40:S52" si="43">SUM(P40:R40)</f>
        <v>88666.1136</v>
      </c>
      <c r="T40" s="212" t="s">
        <v>499</v>
      </c>
      <c r="U40" s="201"/>
      <c r="V40" s="201"/>
      <c r="W40" s="201"/>
      <c r="X40" s="206"/>
      <c r="Y40" s="22"/>
      <c r="AC40" s="21"/>
      <c r="AD40" s="21"/>
      <c r="AE40" s="21"/>
      <c r="AF40" s="166"/>
      <c r="AG40" s="166"/>
      <c r="AH40" s="166"/>
      <c r="AI40" s="166"/>
      <c r="AJ40" s="166"/>
      <c r="AK40" s="166"/>
      <c r="AL40" s="166"/>
      <c r="AM40" s="166"/>
      <c r="AN40" s="166"/>
      <c r="AO40" s="35"/>
      <c r="AP40" s="23"/>
    </row>
    <row r="41">
      <c r="A41" s="21"/>
      <c r="B41" s="21"/>
      <c r="C41" s="35"/>
      <c r="D41" s="213"/>
      <c r="E41" s="204"/>
      <c r="F41" s="214"/>
      <c r="G41" s="214"/>
      <c r="H41" s="204"/>
      <c r="I41" s="204"/>
      <c r="J41" s="215"/>
      <c r="K41" s="215"/>
      <c r="L41" s="215"/>
      <c r="M41" s="215"/>
      <c r="N41" s="19"/>
      <c r="O41" s="164" t="s">
        <v>500</v>
      </c>
      <c r="P41" s="165">
        <f>-P40*'Simple Inputs'!$E$6</f>
        <v>-3465.96</v>
      </c>
      <c r="Q41" s="165">
        <f>-Q40*'Simple Inputs'!$E$6</f>
        <v>-509.97</v>
      </c>
      <c r="R41" s="165">
        <f>-R40*'Simple Inputs'!$E$6</f>
        <v>-457.37568</v>
      </c>
      <c r="S41" s="211">
        <f t="shared" si="43"/>
        <v>-4433.30568</v>
      </c>
      <c r="T41" s="212" t="s">
        <v>501</v>
      </c>
      <c r="U41" s="21"/>
      <c r="V41" s="21"/>
      <c r="W41" s="21"/>
      <c r="X41" s="206"/>
      <c r="Y41" s="22"/>
      <c r="AC41" s="21"/>
      <c r="AD41" s="21"/>
      <c r="AE41" s="21"/>
      <c r="AF41" s="166"/>
      <c r="AG41" s="166"/>
      <c r="AH41" s="166"/>
      <c r="AI41" s="166"/>
      <c r="AJ41" s="166"/>
      <c r="AK41" s="166"/>
      <c r="AL41" s="166"/>
      <c r="AM41" s="166"/>
      <c r="AN41" s="166"/>
      <c r="AO41" s="35"/>
      <c r="AP41" s="23"/>
    </row>
    <row r="42">
      <c r="A42" s="21"/>
      <c r="B42" s="21"/>
      <c r="E42" s="21"/>
      <c r="F42" s="21"/>
      <c r="G42" s="21"/>
      <c r="H42" s="21"/>
      <c r="I42" s="21"/>
      <c r="J42" s="21"/>
      <c r="K42" s="21"/>
      <c r="L42" s="21"/>
      <c r="M42" s="21"/>
      <c r="N42" s="19"/>
      <c r="O42" s="164" t="s">
        <v>502</v>
      </c>
      <c r="P42" s="165">
        <f t="shared" ref="P42:R42" si="44">SUM(P40:P41)</f>
        <v>65853.24</v>
      </c>
      <c r="Q42" s="165">
        <f t="shared" si="44"/>
        <v>9689.43</v>
      </c>
      <c r="R42" s="165">
        <f t="shared" si="44"/>
        <v>8690.13792</v>
      </c>
      <c r="S42" s="211">
        <f t="shared" si="43"/>
        <v>84232.80792</v>
      </c>
      <c r="T42" s="212" t="s">
        <v>503</v>
      </c>
      <c r="U42" s="21"/>
      <c r="V42" s="21"/>
      <c r="W42" s="21"/>
      <c r="X42" s="206"/>
      <c r="Y42" s="22"/>
      <c r="AC42" s="21"/>
      <c r="AD42" s="21"/>
      <c r="AE42" s="21"/>
      <c r="AF42" s="166"/>
      <c r="AG42" s="166"/>
      <c r="AH42" s="166"/>
      <c r="AI42" s="166"/>
      <c r="AJ42" s="166"/>
      <c r="AK42" s="166"/>
      <c r="AL42" s="166"/>
      <c r="AM42" s="166"/>
      <c r="AN42" s="166"/>
      <c r="AO42" s="35"/>
      <c r="AP42" s="23"/>
    </row>
    <row r="43">
      <c r="A43" s="21"/>
      <c r="B43" s="21"/>
      <c r="E43" s="21"/>
      <c r="F43" s="21"/>
      <c r="G43" s="21"/>
      <c r="H43" s="21"/>
      <c r="I43" s="21"/>
      <c r="J43" s="21"/>
      <c r="K43" s="21"/>
      <c r="L43" s="21"/>
      <c r="M43" s="21"/>
      <c r="N43" s="19"/>
      <c r="O43" s="164" t="s">
        <v>504</v>
      </c>
      <c r="P43" s="165">
        <f>-P42*'Simple Inputs'!$E$7</f>
        <v>-1975.5972</v>
      </c>
      <c r="Q43" s="165">
        <f>-Q42*'Simple Inputs'!$E$7</f>
        <v>-290.6829</v>
      </c>
      <c r="R43" s="165">
        <f>-R42*'Simple Inputs'!$E$7</f>
        <v>-260.7041376</v>
      </c>
      <c r="S43" s="211">
        <f t="shared" si="43"/>
        <v>-2526.984238</v>
      </c>
      <c r="T43" s="212" t="s">
        <v>505</v>
      </c>
      <c r="U43" s="21"/>
      <c r="V43" s="21"/>
      <c r="W43" s="21"/>
      <c r="X43" s="206"/>
      <c r="Y43" s="22"/>
      <c r="AC43" s="21"/>
      <c r="AD43" s="21"/>
      <c r="AE43" s="21"/>
      <c r="AF43" s="166"/>
      <c r="AG43" s="166"/>
      <c r="AH43" s="166"/>
      <c r="AI43" s="166"/>
      <c r="AJ43" s="166"/>
      <c r="AK43" s="166"/>
      <c r="AL43" s="166"/>
      <c r="AM43" s="166"/>
      <c r="AN43" s="166"/>
      <c r="AO43" s="35"/>
      <c r="AP43" s="23"/>
    </row>
    <row r="44">
      <c r="A44" s="21"/>
      <c r="B44" s="21"/>
      <c r="E44" s="21"/>
      <c r="F44" s="21"/>
      <c r="G44" s="21"/>
      <c r="H44" s="21"/>
      <c r="I44" s="21"/>
      <c r="J44" s="21"/>
      <c r="K44" s="21"/>
      <c r="L44" s="21"/>
      <c r="M44" s="21"/>
      <c r="N44" s="19"/>
      <c r="O44" s="164" t="s">
        <v>506</v>
      </c>
      <c r="P44" s="165">
        <f t="shared" ref="P44:R44" si="45">SUM(P42:P43)</f>
        <v>63877.6428</v>
      </c>
      <c r="Q44" s="165">
        <f t="shared" si="45"/>
        <v>9398.7471</v>
      </c>
      <c r="R44" s="165">
        <f t="shared" si="45"/>
        <v>8429.433782</v>
      </c>
      <c r="S44" s="211">
        <f t="shared" si="43"/>
        <v>81705.82368</v>
      </c>
      <c r="T44" s="212" t="s">
        <v>507</v>
      </c>
      <c r="U44" s="21"/>
      <c r="V44" s="21"/>
      <c r="W44" s="21"/>
      <c r="X44" s="206"/>
      <c r="Y44" s="22"/>
      <c r="AC44" s="21"/>
      <c r="AD44" s="21"/>
      <c r="AE44" s="21"/>
      <c r="AF44" s="166"/>
      <c r="AG44" s="166"/>
      <c r="AH44" s="166"/>
      <c r="AI44" s="166"/>
      <c r="AJ44" s="166"/>
      <c r="AK44" s="166"/>
      <c r="AL44" s="166"/>
      <c r="AM44" s="166"/>
      <c r="AN44" s="166"/>
      <c r="AO44" s="35"/>
      <c r="AP44" s="23"/>
    </row>
    <row r="45">
      <c r="A45" s="21"/>
      <c r="B45" s="21"/>
      <c r="E45" s="21"/>
      <c r="F45" s="21"/>
      <c r="G45" s="21"/>
      <c r="H45" s="21"/>
      <c r="I45" s="21"/>
      <c r="J45" s="21"/>
      <c r="K45" s="21"/>
      <c r="L45" s="21"/>
      <c r="M45" s="21"/>
      <c r="N45" s="19"/>
      <c r="O45" s="164" t="s">
        <v>508</v>
      </c>
      <c r="P45" s="165">
        <f>-P44*'Simple Inputs'!$E$8</f>
        <v>-319.388214</v>
      </c>
      <c r="Q45" s="165">
        <f>-Q44*'Simple Inputs'!$E$8</f>
        <v>-46.9937355</v>
      </c>
      <c r="R45" s="165">
        <f>-R44*'Simple Inputs'!$E$8</f>
        <v>-42.14716891</v>
      </c>
      <c r="S45" s="211">
        <f t="shared" si="43"/>
        <v>-408.5291184</v>
      </c>
      <c r="T45" s="212" t="s">
        <v>509</v>
      </c>
      <c r="U45" s="21"/>
      <c r="V45" s="21"/>
      <c r="W45" s="21"/>
      <c r="X45" s="206"/>
      <c r="Y45" s="22"/>
      <c r="AC45" s="21"/>
      <c r="AD45" s="21"/>
      <c r="AE45" s="21"/>
      <c r="AF45" s="166"/>
      <c r="AG45" s="166"/>
      <c r="AH45" s="166"/>
      <c r="AI45" s="166"/>
      <c r="AJ45" s="166"/>
      <c r="AK45" s="166"/>
      <c r="AL45" s="166"/>
      <c r="AM45" s="166"/>
      <c r="AN45" s="166"/>
      <c r="AO45" s="35"/>
      <c r="AP45" s="23"/>
    </row>
    <row r="46">
      <c r="A46" s="21"/>
      <c r="B46" s="21"/>
      <c r="E46" s="21"/>
      <c r="F46" s="21"/>
      <c r="G46" s="21"/>
      <c r="H46" s="21"/>
      <c r="I46" s="21"/>
      <c r="J46" s="21"/>
      <c r="K46" s="21"/>
      <c r="L46" s="21"/>
      <c r="M46" s="21"/>
      <c r="N46" s="19"/>
      <c r="O46" s="164" t="s">
        <v>510</v>
      </c>
      <c r="P46" s="165">
        <f t="shared" ref="P46:R46" si="46">SUM(P44:P45)</f>
        <v>63558.25459</v>
      </c>
      <c r="Q46" s="165">
        <f t="shared" si="46"/>
        <v>9351.753365</v>
      </c>
      <c r="R46" s="165">
        <f t="shared" si="46"/>
        <v>8387.286613</v>
      </c>
      <c r="S46" s="211">
        <f t="shared" si="43"/>
        <v>81297.29456</v>
      </c>
      <c r="T46" s="212" t="s">
        <v>511</v>
      </c>
      <c r="U46" s="21"/>
      <c r="V46" s="21"/>
      <c r="W46" s="21"/>
      <c r="X46" s="206"/>
      <c r="Y46" s="22"/>
      <c r="AC46" s="21"/>
      <c r="AD46" s="21"/>
      <c r="AE46" s="21"/>
      <c r="AF46" s="166"/>
      <c r="AG46" s="166"/>
      <c r="AH46" s="166"/>
      <c r="AI46" s="166"/>
      <c r="AJ46" s="166"/>
      <c r="AK46" s="166"/>
      <c r="AL46" s="166"/>
      <c r="AM46" s="166"/>
      <c r="AN46" s="166"/>
      <c r="AO46" s="35"/>
      <c r="AP46" s="23"/>
    </row>
    <row r="47">
      <c r="A47" s="21"/>
      <c r="B47" s="21"/>
      <c r="E47" s="21"/>
      <c r="F47" s="21"/>
      <c r="G47" s="21"/>
      <c r="H47" s="21"/>
      <c r="I47" s="21"/>
      <c r="J47" s="21"/>
      <c r="K47" s="21"/>
      <c r="L47" s="21"/>
      <c r="M47" s="21"/>
      <c r="N47" s="19"/>
      <c r="O47" s="164" t="s">
        <v>512</v>
      </c>
      <c r="P47" s="165">
        <f>-P46*'Simple Inputs'!$E$10</f>
        <v>-1843.189383</v>
      </c>
      <c r="Q47" s="165">
        <f>-Q46*'Simple Inputs'!$E$10</f>
        <v>-271.2008476</v>
      </c>
      <c r="R47" s="165">
        <f>-R46*'Simple Inputs'!$E$10</f>
        <v>-243.2313118</v>
      </c>
      <c r="S47" s="211">
        <f t="shared" si="43"/>
        <v>-2357.621542</v>
      </c>
      <c r="T47" s="212" t="s">
        <v>513</v>
      </c>
      <c r="U47" s="21"/>
      <c r="V47" s="21"/>
      <c r="W47" s="21"/>
      <c r="X47" s="206"/>
      <c r="Y47" s="22"/>
      <c r="AC47" s="21"/>
      <c r="AD47" s="21"/>
      <c r="AE47" s="21"/>
      <c r="AF47" s="166"/>
      <c r="AG47" s="166"/>
      <c r="AH47" s="166"/>
      <c r="AI47" s="166"/>
      <c r="AJ47" s="166"/>
      <c r="AK47" s="166"/>
      <c r="AL47" s="166"/>
      <c r="AM47" s="166"/>
      <c r="AN47" s="166"/>
      <c r="AO47" s="35"/>
      <c r="AP47" s="23"/>
    </row>
    <row r="48">
      <c r="A48" s="21"/>
      <c r="B48" s="21"/>
      <c r="E48" s="21"/>
      <c r="F48" s="21"/>
      <c r="G48" s="21"/>
      <c r="H48" s="21"/>
      <c r="I48" s="21"/>
      <c r="J48" s="21"/>
      <c r="K48" s="21"/>
      <c r="L48" s="216"/>
      <c r="M48" s="21"/>
      <c r="N48" s="19"/>
      <c r="O48" s="154" t="s">
        <v>514</v>
      </c>
      <c r="P48" s="211">
        <f>-$F$19*(1-'Simple Inputs'!$E$6)*'Simple Inputs'!$E$11</f>
        <v>-1162.8</v>
      </c>
      <c r="Q48" s="211">
        <f>-$F$20*(1-'Simple Inputs'!$E$6)*'Simple Inputs'!$E$11</f>
        <v>-17.1</v>
      </c>
      <c r="R48" s="211">
        <f>-$F$21*(1-'Simple Inputs'!$E$6)*'Simple Inputs'!$E$11</f>
        <v>-720.6624</v>
      </c>
      <c r="S48" s="211">
        <f t="shared" si="43"/>
        <v>-1900.5624</v>
      </c>
      <c r="T48" s="212" t="s">
        <v>515</v>
      </c>
      <c r="U48" s="21"/>
      <c r="V48" s="21"/>
      <c r="W48" s="21"/>
      <c r="X48" s="206"/>
      <c r="Y48" s="22"/>
      <c r="AC48" s="21"/>
      <c r="AD48" s="21"/>
      <c r="AE48" s="21"/>
      <c r="AF48" s="166"/>
      <c r="AG48" s="166"/>
      <c r="AH48" s="166"/>
      <c r="AI48" s="166"/>
      <c r="AJ48" s="166"/>
      <c r="AK48" s="166"/>
      <c r="AL48" s="166"/>
      <c r="AM48" s="166"/>
      <c r="AN48" s="166"/>
      <c r="AO48" s="35"/>
      <c r="AP48" s="23"/>
    </row>
    <row r="49">
      <c r="A49" s="21"/>
      <c r="B49" s="21"/>
      <c r="E49" s="21"/>
      <c r="F49" s="21"/>
      <c r="G49" s="21"/>
      <c r="H49" s="21"/>
      <c r="I49" s="21"/>
      <c r="J49" s="21"/>
      <c r="K49" s="21"/>
      <c r="L49" s="21"/>
      <c r="M49" s="21"/>
      <c r="N49" s="19"/>
      <c r="O49" s="154" t="s">
        <v>516</v>
      </c>
      <c r="P49" s="211">
        <f>-$F$19*(1-'Simple Inputs'!$E$6)*(1-'Simple Inputs'!$E$7)*'Simple Inputs'!$E$8*'Simple Inputs'!$E$12</f>
        <v>-281.979</v>
      </c>
      <c r="Q49" s="211">
        <f>-$F$20*(1-'Simple Inputs'!$E$6)*(1-'Simple Inputs'!$E$7)*'Simple Inputs'!$E$8*'Simple Inputs'!$E$12</f>
        <v>-4.14675</v>
      </c>
      <c r="R49" s="211">
        <f>-$F$21*(1-'Simple Inputs'!$E$6)*(1-'Simple Inputs'!$E$7)*'Simple Inputs'!$E$8*'Simple Inputs'!$E$12</f>
        <v>-174.760632</v>
      </c>
      <c r="S49" s="211">
        <f t="shared" si="43"/>
        <v>-460.886382</v>
      </c>
      <c r="T49" s="212" t="s">
        <v>517</v>
      </c>
      <c r="U49" s="21"/>
      <c r="V49" s="21"/>
      <c r="W49" s="21"/>
      <c r="X49" s="206"/>
      <c r="Y49" s="22"/>
      <c r="Z49" s="21"/>
      <c r="AA49" s="21"/>
      <c r="AB49" s="21"/>
      <c r="AC49" s="21"/>
      <c r="AD49" s="21"/>
      <c r="AE49" s="21"/>
      <c r="AF49" s="166"/>
      <c r="AG49" s="166"/>
      <c r="AH49" s="166"/>
      <c r="AI49" s="166"/>
      <c r="AJ49" s="166"/>
      <c r="AK49" s="166"/>
      <c r="AL49" s="166"/>
      <c r="AM49" s="166"/>
      <c r="AN49" s="166"/>
      <c r="AO49" s="35"/>
      <c r="AP49" s="23"/>
    </row>
    <row r="50">
      <c r="A50" s="21"/>
      <c r="B50" s="21"/>
      <c r="E50" s="21"/>
      <c r="F50" s="21"/>
      <c r="G50" s="21"/>
      <c r="H50" s="21"/>
      <c r="I50" s="21"/>
      <c r="J50" s="21"/>
      <c r="K50" s="21"/>
      <c r="L50" s="21"/>
      <c r="M50" s="21"/>
      <c r="N50" s="19"/>
      <c r="O50" s="154" t="s">
        <v>518</v>
      </c>
      <c r="P50" s="211">
        <f>-P46*IF('Simple Inputs'!$F$45="Yes",'Simple Inputs'!$I$45,0)</f>
        <v>0</v>
      </c>
      <c r="Q50" s="211">
        <f>-Q46*IF('Simple Inputs'!$F$45="Yes",'Simple Inputs'!$I$45,0)</f>
        <v>0</v>
      </c>
      <c r="R50" s="211">
        <f>-R46*IF('Simple Inputs'!$F$45="Yes",'Simple Inputs'!$I$45,0)</f>
        <v>0</v>
      </c>
      <c r="S50" s="211">
        <f t="shared" si="43"/>
        <v>0</v>
      </c>
      <c r="T50" s="212" t="s">
        <v>519</v>
      </c>
      <c r="U50" s="21"/>
      <c r="V50" s="21"/>
      <c r="W50" s="21"/>
      <c r="X50" s="206"/>
      <c r="Y50" s="21"/>
    </row>
    <row r="51">
      <c r="A51" s="21"/>
      <c r="B51" s="21"/>
      <c r="E51" s="21"/>
      <c r="F51" s="21"/>
      <c r="G51" s="21"/>
      <c r="H51" s="21"/>
      <c r="I51" s="21"/>
      <c r="J51" s="21"/>
      <c r="K51" s="21"/>
      <c r="L51" s="21"/>
      <c r="M51" s="21"/>
      <c r="N51" s="19"/>
      <c r="O51" s="217" t="s">
        <v>520</v>
      </c>
      <c r="P51" s="218">
        <f t="shared" ref="P51:R51" si="47">SUM(P40,P41,P43,P45,P47:P50)</f>
        <v>60270.2862</v>
      </c>
      <c r="Q51" s="218">
        <f t="shared" si="47"/>
        <v>9059.305767</v>
      </c>
      <c r="R51" s="218">
        <f t="shared" si="47"/>
        <v>7248.63227</v>
      </c>
      <c r="S51" s="219">
        <f t="shared" si="43"/>
        <v>76578.22424</v>
      </c>
      <c r="T51" s="220" t="s">
        <v>521</v>
      </c>
      <c r="U51" s="21"/>
      <c r="V51" s="21"/>
      <c r="W51" s="21"/>
      <c r="X51" s="206"/>
      <c r="Y51" s="21"/>
    </row>
    <row r="52">
      <c r="A52" s="21"/>
      <c r="B52" s="21"/>
      <c r="E52" s="21"/>
      <c r="F52" s="21"/>
      <c r="G52" s="21"/>
      <c r="H52" s="21"/>
      <c r="I52" s="21"/>
      <c r="J52" s="21"/>
      <c r="K52" s="21"/>
      <c r="L52" s="21"/>
      <c r="M52" s="21"/>
      <c r="N52" s="19"/>
      <c r="O52" s="221" t="s">
        <v>522</v>
      </c>
      <c r="P52" s="222">
        <f t="shared" ref="P52:R52" si="48">P51-(P40+SUM(P41,P43,P45,P47:P50))</f>
        <v>0</v>
      </c>
      <c r="Q52" s="222">
        <f t="shared" si="48"/>
        <v>0</v>
      </c>
      <c r="R52" s="222">
        <f t="shared" si="48"/>
        <v>0</v>
      </c>
      <c r="S52" s="223">
        <f t="shared" si="43"/>
        <v>0</v>
      </c>
      <c r="T52" s="224" t="s">
        <v>523</v>
      </c>
      <c r="U52" s="21"/>
      <c r="V52" s="21"/>
      <c r="W52" s="21"/>
      <c r="X52" s="206"/>
      <c r="Y52" s="21"/>
    </row>
    <row r="53">
      <c r="A53" s="21"/>
      <c r="B53" s="21"/>
      <c r="E53" s="21"/>
      <c r="F53" s="21"/>
      <c r="G53" s="21"/>
      <c r="H53" s="21"/>
      <c r="I53" s="21"/>
      <c r="J53" s="21"/>
      <c r="K53" s="21"/>
      <c r="L53" s="21"/>
      <c r="M53" s="21"/>
      <c r="N53" s="19"/>
      <c r="U53" s="21"/>
      <c r="V53" s="21"/>
      <c r="W53" s="21"/>
      <c r="X53" s="206"/>
      <c r="Y53" s="21"/>
    </row>
    <row r="54">
      <c r="A54" s="21"/>
      <c r="B54" s="21"/>
      <c r="E54" s="21"/>
      <c r="F54" s="21"/>
      <c r="G54" s="21"/>
      <c r="H54" s="21"/>
      <c r="I54" s="21"/>
      <c r="J54" s="21"/>
      <c r="K54" s="21"/>
      <c r="L54" s="21"/>
      <c r="M54" s="21"/>
      <c r="N54" s="19"/>
      <c r="U54" s="21"/>
      <c r="V54" s="21"/>
      <c r="W54" s="21"/>
      <c r="X54" s="206"/>
      <c r="Y54" s="21"/>
    </row>
    <row r="55">
      <c r="A55" s="21"/>
      <c r="B55" s="21"/>
      <c r="E55" s="21"/>
      <c r="F55" s="21"/>
      <c r="G55" s="21"/>
      <c r="H55" s="21"/>
      <c r="I55" s="21"/>
      <c r="J55" s="21"/>
      <c r="K55" s="21"/>
      <c r="L55" s="21"/>
      <c r="M55" s="21"/>
      <c r="N55" s="213"/>
      <c r="O55" s="215"/>
      <c r="P55" s="215"/>
      <c r="Q55" s="215"/>
      <c r="R55" s="215"/>
      <c r="S55" s="215"/>
      <c r="T55" s="215"/>
      <c r="U55" s="215"/>
      <c r="V55" s="215"/>
      <c r="W55" s="215"/>
      <c r="X55" s="225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</row>
    <row r="56" ht="19.5" customHeight="1">
      <c r="A56" s="21"/>
      <c r="B56" s="21"/>
      <c r="E56" s="21"/>
      <c r="F56" s="21"/>
      <c r="G56" s="21"/>
      <c r="H56" s="21"/>
      <c r="I56" s="21"/>
      <c r="J56" s="21"/>
      <c r="K56" s="21"/>
      <c r="L56" s="21"/>
      <c r="M56" s="21"/>
      <c r="O56" s="21"/>
      <c r="P56" s="21"/>
      <c r="Q56" s="21"/>
      <c r="R56" s="21"/>
      <c r="S56" s="21"/>
      <c r="T56" s="21"/>
      <c r="U56" s="21"/>
      <c r="V56" s="21"/>
      <c r="W56" s="21"/>
      <c r="X56" s="22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</row>
    <row r="57" ht="19.5" customHeight="1">
      <c r="A57" s="21"/>
      <c r="B57" s="21"/>
      <c r="E57" s="21"/>
      <c r="F57" s="21"/>
      <c r="G57" s="21"/>
      <c r="H57" s="21"/>
      <c r="I57" s="21"/>
      <c r="J57" s="21"/>
      <c r="K57" s="21"/>
      <c r="L57" s="21"/>
      <c r="M57" s="21"/>
      <c r="O57" s="21"/>
      <c r="P57" s="21"/>
      <c r="Q57" s="21"/>
      <c r="R57" s="21"/>
      <c r="S57" s="21"/>
      <c r="T57" s="21"/>
      <c r="U57" s="21"/>
      <c r="V57" s="21"/>
      <c r="W57" s="21"/>
      <c r="X57" s="22"/>
      <c r="Y57" s="21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35"/>
      <c r="AP57" s="23"/>
    </row>
    <row r="58" ht="19.5" customHeight="1">
      <c r="A58" s="21"/>
      <c r="B58" s="21"/>
      <c r="E58" s="21"/>
      <c r="F58" s="21"/>
      <c r="G58" s="21"/>
      <c r="H58" s="21"/>
      <c r="I58" s="21"/>
      <c r="J58" s="21"/>
      <c r="K58" s="21"/>
      <c r="L58" s="21"/>
      <c r="M58" s="21"/>
      <c r="N58" s="35"/>
      <c r="O58" s="63"/>
      <c r="P58" s="63"/>
      <c r="Q58" s="63"/>
      <c r="R58" s="21"/>
      <c r="S58" s="21"/>
      <c r="T58" s="21"/>
      <c r="U58" s="21"/>
      <c r="V58" s="21"/>
      <c r="W58" s="21"/>
      <c r="X58" s="22"/>
      <c r="Y58" s="21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35"/>
      <c r="AP58" s="23"/>
    </row>
    <row r="59" ht="19.5" customHeight="1">
      <c r="A59" s="21"/>
      <c r="B59" s="21"/>
      <c r="E59" s="21"/>
      <c r="F59" s="21"/>
      <c r="G59" s="21"/>
      <c r="H59" s="21"/>
      <c r="I59" s="21"/>
      <c r="J59" s="21"/>
      <c r="K59" s="21"/>
      <c r="L59" s="21"/>
      <c r="M59" s="63"/>
      <c r="N59" s="35"/>
      <c r="O59" s="63"/>
      <c r="P59" s="63"/>
      <c r="Q59" s="63"/>
      <c r="R59" s="21"/>
      <c r="S59" s="21"/>
      <c r="T59" s="21"/>
      <c r="U59" s="21"/>
      <c r="V59" s="21"/>
      <c r="W59" s="21"/>
      <c r="X59" s="22"/>
      <c r="Y59" s="21"/>
      <c r="Z59" s="21"/>
      <c r="AA59" s="21"/>
      <c r="AB59" s="21"/>
      <c r="AC59" s="21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35"/>
      <c r="AP59" s="23"/>
    </row>
    <row r="60" ht="19.5" customHeight="1">
      <c r="A60" s="21"/>
      <c r="B60" s="21"/>
      <c r="E60" s="21"/>
      <c r="F60" s="21"/>
      <c r="G60" s="21"/>
      <c r="H60" s="21"/>
      <c r="I60" s="21"/>
      <c r="J60" s="21"/>
      <c r="K60" s="21"/>
      <c r="L60" s="21"/>
      <c r="M60" s="63"/>
      <c r="N60" s="35"/>
      <c r="O60" s="63"/>
      <c r="P60" s="63"/>
      <c r="Q60" s="63"/>
      <c r="R60" s="21"/>
      <c r="S60" s="21"/>
      <c r="T60" s="21"/>
      <c r="U60" s="21"/>
      <c r="V60" s="21"/>
      <c r="W60" s="21"/>
      <c r="X60" s="22"/>
      <c r="Y60" s="21"/>
      <c r="Z60" s="21"/>
      <c r="AA60" s="21"/>
      <c r="AB60" s="21"/>
      <c r="AC60" s="21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35"/>
      <c r="AP60" s="23"/>
    </row>
    <row r="61" ht="19.5" customHeight="1">
      <c r="A61" s="21"/>
      <c r="B61" s="21"/>
      <c r="E61" s="21"/>
      <c r="F61" s="21"/>
      <c r="G61" s="21"/>
      <c r="H61" s="21"/>
      <c r="I61" s="21"/>
      <c r="J61" s="21"/>
      <c r="K61" s="21"/>
      <c r="L61" s="21"/>
      <c r="M61" s="63"/>
      <c r="N61" s="35"/>
      <c r="O61" s="63"/>
      <c r="P61" s="63"/>
      <c r="Q61" s="63"/>
      <c r="R61" s="21"/>
      <c r="S61" s="21"/>
      <c r="T61" s="21"/>
      <c r="U61" s="21"/>
      <c r="V61" s="21"/>
      <c r="W61" s="21"/>
      <c r="X61" s="22"/>
      <c r="Y61" s="21"/>
      <c r="Z61" s="21"/>
      <c r="AA61" s="21"/>
      <c r="AB61" s="21"/>
      <c r="AC61" s="21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35"/>
      <c r="AP61" s="23"/>
    </row>
    <row r="62" ht="19.5" customHeight="1">
      <c r="A62" s="21"/>
      <c r="B62" s="21"/>
      <c r="E62" s="21"/>
      <c r="F62" s="21"/>
      <c r="G62" s="21"/>
      <c r="H62" s="21"/>
      <c r="I62" s="21"/>
      <c r="J62" s="21"/>
      <c r="K62" s="21"/>
      <c r="L62" s="21"/>
      <c r="M62" s="21"/>
      <c r="O62" s="21"/>
      <c r="P62" s="21"/>
      <c r="Q62" s="21"/>
      <c r="R62" s="21"/>
      <c r="S62" s="21"/>
      <c r="T62" s="21"/>
      <c r="U62" s="21"/>
      <c r="V62" s="21"/>
      <c r="W62" s="21"/>
      <c r="X62" s="22"/>
      <c r="Y62" s="21"/>
      <c r="Z62" s="21"/>
      <c r="AA62" s="21"/>
      <c r="AB62" s="21"/>
      <c r="AC62" s="21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35"/>
      <c r="AP62" s="23"/>
    </row>
    <row r="63" ht="19.5" customHeight="1">
      <c r="A63" s="21"/>
      <c r="B63" s="21"/>
      <c r="C63" s="35"/>
      <c r="D63" s="35"/>
      <c r="E63" s="226"/>
      <c r="F63" s="226"/>
      <c r="G63" s="226"/>
      <c r="H63" s="226"/>
      <c r="I63" s="226"/>
      <c r="J63" s="226"/>
      <c r="K63" s="226"/>
      <c r="L63" s="226"/>
      <c r="M63" s="226"/>
      <c r="O63" s="21"/>
      <c r="P63" s="21"/>
      <c r="Q63" s="21"/>
      <c r="R63" s="21"/>
      <c r="S63" s="21"/>
      <c r="T63" s="21"/>
      <c r="U63" s="21"/>
      <c r="V63" s="21"/>
      <c r="W63" s="21"/>
      <c r="X63" s="22"/>
      <c r="Y63" s="21"/>
      <c r="Z63" s="21"/>
      <c r="AA63" s="21"/>
      <c r="AB63" s="21"/>
      <c r="AC63" s="21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35"/>
      <c r="AP63" s="23"/>
    </row>
    <row r="64" ht="19.5" customHeight="1">
      <c r="A64" s="21"/>
      <c r="B64" s="21"/>
      <c r="C64" s="35"/>
      <c r="D64" s="35"/>
      <c r="E64" s="226"/>
      <c r="F64" s="227"/>
      <c r="G64" s="226"/>
      <c r="H64" s="226"/>
      <c r="I64" s="226"/>
      <c r="J64" s="226"/>
      <c r="K64" s="226"/>
      <c r="L64" s="226"/>
      <c r="M64" s="226"/>
      <c r="O64" s="21"/>
      <c r="P64" s="21"/>
      <c r="Q64" s="21"/>
      <c r="R64" s="21"/>
      <c r="S64" s="21"/>
      <c r="T64" s="21"/>
      <c r="U64" s="21"/>
      <c r="V64" s="21"/>
      <c r="W64" s="21"/>
      <c r="X64" s="22"/>
      <c r="Y64" s="21"/>
      <c r="Z64" s="21"/>
      <c r="AA64" s="21"/>
      <c r="AB64" s="21"/>
      <c r="AC64" s="21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35"/>
      <c r="AP64" s="23"/>
    </row>
    <row r="65" ht="19.5" customHeight="1">
      <c r="A65" s="21"/>
      <c r="B65" s="21"/>
      <c r="C65" s="35"/>
      <c r="D65" s="35"/>
      <c r="E65" s="226"/>
      <c r="F65" s="228"/>
      <c r="G65" s="226"/>
      <c r="H65" s="226"/>
      <c r="I65" s="226"/>
      <c r="J65" s="226"/>
      <c r="K65" s="226"/>
      <c r="L65" s="226"/>
      <c r="M65" s="226"/>
      <c r="O65" s="21"/>
      <c r="P65" s="21"/>
      <c r="Q65" s="21"/>
      <c r="R65" s="21"/>
      <c r="S65" s="21"/>
      <c r="T65" s="21"/>
      <c r="U65" s="21"/>
      <c r="V65" s="21"/>
      <c r="W65" s="21"/>
      <c r="X65" s="22"/>
      <c r="Y65" s="21"/>
      <c r="Z65" s="21"/>
      <c r="AA65" s="21"/>
      <c r="AB65" s="21"/>
      <c r="AC65" s="21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35"/>
      <c r="AP65" s="23"/>
    </row>
    <row r="66" ht="19.5" customHeight="1">
      <c r="A66" s="21"/>
      <c r="B66" s="21"/>
      <c r="C66" s="35"/>
      <c r="D66" s="35"/>
      <c r="E66" s="226"/>
      <c r="F66" s="227"/>
      <c r="G66" s="226"/>
      <c r="H66" s="226"/>
      <c r="I66" s="226"/>
      <c r="J66" s="226"/>
      <c r="K66" s="226"/>
      <c r="L66" s="226"/>
      <c r="M66" s="226"/>
      <c r="O66" s="21"/>
      <c r="P66" s="21"/>
      <c r="Q66" s="21"/>
      <c r="R66" s="21"/>
      <c r="S66" s="21"/>
      <c r="T66" s="21"/>
      <c r="U66" s="21"/>
      <c r="V66" s="21"/>
      <c r="W66" s="21"/>
      <c r="X66" s="22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</row>
    <row r="67" ht="19.5" customHeight="1">
      <c r="A67" s="21"/>
      <c r="B67" s="21"/>
      <c r="C67" s="35"/>
      <c r="D67" s="35"/>
      <c r="E67" s="226"/>
      <c r="F67" s="228"/>
      <c r="G67" s="226"/>
      <c r="H67" s="226"/>
      <c r="I67" s="226"/>
      <c r="J67" s="226"/>
      <c r="K67" s="226"/>
      <c r="L67" s="226"/>
      <c r="M67" s="226"/>
      <c r="O67" s="21"/>
      <c r="P67" s="21"/>
      <c r="Q67" s="21"/>
      <c r="R67" s="21"/>
      <c r="S67" s="21"/>
      <c r="T67" s="21"/>
      <c r="U67" s="21"/>
      <c r="V67" s="21"/>
      <c r="W67" s="21"/>
      <c r="X67" s="22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</row>
    <row r="68" ht="19.5" customHeight="1">
      <c r="A68" s="21"/>
      <c r="B68" s="21"/>
      <c r="C68" s="35"/>
      <c r="D68" s="35"/>
      <c r="E68" s="226"/>
      <c r="F68" s="226"/>
      <c r="G68" s="226"/>
      <c r="H68" s="226"/>
      <c r="I68" s="226"/>
      <c r="J68" s="226"/>
      <c r="K68" s="226"/>
      <c r="L68" s="226"/>
      <c r="M68" s="226"/>
      <c r="O68" s="21"/>
      <c r="P68" s="21"/>
      <c r="Q68" s="21"/>
      <c r="R68" s="21"/>
      <c r="S68" s="21"/>
      <c r="T68" s="21"/>
      <c r="U68" s="21"/>
      <c r="V68" s="21"/>
      <c r="W68" s="21"/>
      <c r="X68" s="22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</row>
    <row r="69" ht="19.5" customHeight="1">
      <c r="A69" s="21"/>
      <c r="B69" s="21"/>
      <c r="C69" s="35"/>
      <c r="D69" s="35"/>
      <c r="E69" s="226"/>
      <c r="F69" s="226"/>
      <c r="G69" s="226"/>
      <c r="H69" s="226"/>
      <c r="I69" s="226"/>
      <c r="J69" s="226"/>
      <c r="K69" s="226"/>
      <c r="L69" s="226"/>
      <c r="M69" s="226"/>
      <c r="O69" s="21"/>
      <c r="P69" s="21"/>
      <c r="Q69" s="21"/>
      <c r="R69" s="21"/>
      <c r="S69" s="21"/>
      <c r="T69" s="21"/>
      <c r="U69" s="21"/>
      <c r="V69" s="21"/>
      <c r="W69" s="21"/>
      <c r="X69" s="22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</row>
    <row r="70" ht="19.5" customHeight="1">
      <c r="A70" s="21"/>
      <c r="B70" s="21"/>
      <c r="C70" s="35"/>
      <c r="D70" s="35"/>
      <c r="E70" s="226"/>
      <c r="F70" s="226"/>
      <c r="G70" s="226"/>
      <c r="H70" s="226"/>
      <c r="I70" s="226"/>
      <c r="J70" s="226"/>
      <c r="K70" s="226"/>
      <c r="L70" s="226"/>
      <c r="M70" s="226"/>
      <c r="O70" s="21"/>
      <c r="P70" s="21"/>
      <c r="Q70" s="21"/>
      <c r="R70" s="21"/>
      <c r="S70" s="21"/>
      <c r="T70" s="21"/>
      <c r="U70" s="21"/>
      <c r="V70" s="21"/>
      <c r="W70" s="21"/>
      <c r="X70" s="22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</row>
    <row r="71" ht="19.5" customHeight="1">
      <c r="A71" s="21"/>
      <c r="B71" s="21"/>
      <c r="C71" s="35"/>
      <c r="D71" s="35"/>
      <c r="E71" s="226"/>
      <c r="F71" s="226"/>
      <c r="G71" s="226"/>
      <c r="H71" s="226"/>
      <c r="I71" s="226"/>
      <c r="J71" s="226"/>
      <c r="K71" s="226"/>
      <c r="L71" s="226"/>
      <c r="M71" s="226"/>
      <c r="O71" s="21"/>
      <c r="P71" s="21"/>
      <c r="Q71" s="21"/>
      <c r="R71" s="21"/>
      <c r="S71" s="21"/>
      <c r="T71" s="21"/>
      <c r="U71" s="21"/>
      <c r="V71" s="21"/>
      <c r="W71" s="21"/>
      <c r="X71" s="22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</row>
    <row r="72" ht="19.5" customHeight="1">
      <c r="A72" s="21"/>
      <c r="B72" s="21"/>
      <c r="C72" s="35"/>
      <c r="D72" s="35"/>
      <c r="E72" s="226"/>
      <c r="F72" s="226"/>
      <c r="G72" s="226"/>
      <c r="H72" s="226"/>
      <c r="I72" s="226"/>
      <c r="J72" s="226"/>
      <c r="K72" s="226"/>
      <c r="L72" s="226"/>
      <c r="M72" s="226"/>
      <c r="O72" s="21"/>
      <c r="P72" s="21"/>
      <c r="Q72" s="21"/>
      <c r="R72" s="21"/>
      <c r="S72" s="21"/>
      <c r="T72" s="21"/>
      <c r="U72" s="21"/>
      <c r="V72" s="21"/>
      <c r="W72" s="21"/>
      <c r="X72" s="22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</row>
    <row r="73" ht="19.5" customHeight="1">
      <c r="A73" s="21"/>
      <c r="B73" s="21"/>
      <c r="C73" s="35"/>
      <c r="D73" s="35"/>
      <c r="E73" s="226"/>
      <c r="F73" s="229"/>
      <c r="G73" s="228"/>
      <c r="H73" s="228"/>
      <c r="I73" s="228"/>
      <c r="J73" s="228"/>
      <c r="K73" s="228"/>
      <c r="L73" s="228"/>
      <c r="M73" s="226"/>
      <c r="O73" s="21"/>
      <c r="P73" s="21"/>
      <c r="Q73" s="21"/>
      <c r="R73" s="21"/>
      <c r="S73" s="21"/>
      <c r="T73" s="21"/>
      <c r="U73" s="21"/>
      <c r="V73" s="21"/>
      <c r="W73" s="21"/>
      <c r="X73" s="22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</row>
    <row r="74" ht="19.5" customHeight="1">
      <c r="A74" s="21"/>
      <c r="B74" s="21"/>
      <c r="C74" s="35"/>
      <c r="D74" s="35"/>
      <c r="E74" s="226"/>
      <c r="F74" s="226"/>
      <c r="G74" s="228"/>
      <c r="H74" s="228"/>
      <c r="I74" s="228"/>
      <c r="J74" s="228"/>
      <c r="K74" s="228"/>
      <c r="L74" s="228"/>
      <c r="M74" s="226"/>
      <c r="O74" s="21"/>
      <c r="P74" s="21"/>
      <c r="Q74" s="21"/>
      <c r="R74" s="21"/>
      <c r="S74" s="21"/>
      <c r="T74" s="21"/>
      <c r="U74" s="21"/>
      <c r="V74" s="21"/>
      <c r="W74" s="21"/>
      <c r="X74" s="22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</row>
    <row r="75" ht="19.5" customHeight="1">
      <c r="A75" s="21"/>
      <c r="B75" s="21"/>
      <c r="C75" s="35"/>
      <c r="D75" s="35"/>
      <c r="E75" s="226"/>
      <c r="F75" s="229"/>
      <c r="G75" s="228"/>
      <c r="H75" s="228"/>
      <c r="I75" s="228"/>
      <c r="J75" s="228"/>
      <c r="K75" s="228"/>
      <c r="L75" s="228"/>
      <c r="M75" s="226"/>
      <c r="O75" s="21"/>
      <c r="P75" s="21"/>
      <c r="Q75" s="21"/>
      <c r="R75" s="21"/>
      <c r="S75" s="21"/>
      <c r="T75" s="21"/>
      <c r="U75" s="21"/>
      <c r="V75" s="21"/>
      <c r="W75" s="21"/>
      <c r="X75" s="22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</row>
    <row r="76" ht="19.5" customHeight="1">
      <c r="A76" s="21"/>
      <c r="B76" s="21"/>
      <c r="C76" s="35"/>
      <c r="D76" s="35"/>
      <c r="E76" s="226"/>
      <c r="F76" s="229"/>
      <c r="G76" s="226"/>
      <c r="H76" s="228"/>
      <c r="I76" s="228"/>
      <c r="J76" s="228"/>
      <c r="K76" s="228"/>
      <c r="L76" s="228"/>
      <c r="M76" s="226"/>
      <c r="O76" s="21"/>
      <c r="P76" s="21"/>
      <c r="Q76" s="21"/>
      <c r="R76" s="21"/>
      <c r="S76" s="21"/>
      <c r="T76" s="21"/>
      <c r="U76" s="21"/>
      <c r="V76" s="21"/>
      <c r="W76" s="21"/>
      <c r="X76" s="22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</row>
    <row r="77" ht="19.5" customHeight="1">
      <c r="A77" s="21"/>
      <c r="B77" s="21"/>
      <c r="C77" s="35"/>
      <c r="D77" s="35"/>
      <c r="E77" s="63"/>
      <c r="F77" s="63"/>
      <c r="G77" s="63"/>
      <c r="H77" s="63"/>
      <c r="I77" s="63"/>
      <c r="J77" s="63"/>
      <c r="K77" s="63"/>
      <c r="L77" s="63"/>
      <c r="M77" s="63"/>
      <c r="O77" s="21"/>
      <c r="P77" s="21"/>
      <c r="Q77" s="21"/>
      <c r="R77" s="21"/>
      <c r="S77" s="21"/>
      <c r="T77" s="21"/>
      <c r="U77" s="21"/>
      <c r="V77" s="21"/>
      <c r="W77" s="21"/>
      <c r="X77" s="22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</row>
    <row r="78" ht="19.5" customHeight="1">
      <c r="A78" s="21"/>
      <c r="B78" s="21"/>
      <c r="C78" s="35"/>
      <c r="D78" s="35"/>
      <c r="E78" s="63"/>
      <c r="F78" s="63"/>
      <c r="G78" s="63"/>
      <c r="H78" s="63"/>
      <c r="I78" s="63"/>
      <c r="J78" s="63"/>
      <c r="K78" s="63"/>
      <c r="L78" s="63"/>
      <c r="M78" s="63"/>
      <c r="O78" s="21"/>
      <c r="P78" s="21"/>
      <c r="Q78" s="21"/>
      <c r="R78" s="21"/>
      <c r="S78" s="21"/>
      <c r="T78" s="21"/>
      <c r="U78" s="21"/>
      <c r="V78" s="21"/>
      <c r="W78" s="21"/>
      <c r="X78" s="22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</row>
    <row r="79" ht="19.5" customHeight="1">
      <c r="A79" s="21"/>
      <c r="B79" s="21"/>
      <c r="C79" s="35"/>
      <c r="D79" s="35"/>
      <c r="E79" s="63"/>
      <c r="F79" s="59"/>
      <c r="G79" s="63"/>
      <c r="H79" s="63"/>
      <c r="I79" s="63"/>
      <c r="J79" s="63"/>
      <c r="K79" s="63"/>
      <c r="L79" s="63"/>
      <c r="M79" s="63"/>
      <c r="O79" s="21"/>
      <c r="P79" s="21"/>
      <c r="Q79" s="21"/>
      <c r="R79" s="21"/>
      <c r="S79" s="21"/>
      <c r="T79" s="21"/>
      <c r="U79" s="21"/>
      <c r="V79" s="21"/>
      <c r="W79" s="21"/>
      <c r="X79" s="22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</row>
    <row r="80" ht="19.5" customHeight="1">
      <c r="A80" s="21"/>
      <c r="B80" s="21"/>
      <c r="C80" s="35"/>
      <c r="D80" s="35"/>
      <c r="E80" s="63"/>
      <c r="F80" s="59"/>
      <c r="G80" s="63"/>
      <c r="H80" s="63"/>
      <c r="I80" s="63"/>
      <c r="J80" s="63"/>
      <c r="K80" s="63"/>
      <c r="L80" s="63"/>
      <c r="M80" s="63"/>
      <c r="O80" s="21"/>
      <c r="P80" s="21"/>
      <c r="Q80" s="21"/>
      <c r="R80" s="21"/>
      <c r="S80" s="21"/>
      <c r="T80" s="21"/>
      <c r="U80" s="21"/>
      <c r="V80" s="21"/>
      <c r="W80" s="21"/>
      <c r="X80" s="22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</row>
    <row r="81" ht="19.5" customHeight="1">
      <c r="A81" s="21"/>
      <c r="B81" s="21"/>
      <c r="C81" s="35"/>
      <c r="D81" s="35"/>
      <c r="E81" s="63"/>
      <c r="F81" s="59"/>
      <c r="G81" s="63"/>
      <c r="H81" s="63"/>
      <c r="I81" s="63"/>
      <c r="J81" s="63"/>
      <c r="K81" s="63"/>
      <c r="L81" s="63"/>
      <c r="M81" s="63"/>
      <c r="O81" s="21"/>
      <c r="P81" s="21"/>
      <c r="Q81" s="21"/>
      <c r="R81" s="21"/>
      <c r="S81" s="21"/>
      <c r="T81" s="21"/>
      <c r="U81" s="21"/>
      <c r="V81" s="21"/>
      <c r="W81" s="21"/>
      <c r="X81" s="22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</row>
    <row r="82" ht="19.5" customHeight="1">
      <c r="A82" s="21"/>
      <c r="B82" s="21"/>
      <c r="C82" s="35"/>
      <c r="D82" s="35"/>
      <c r="E82" s="63"/>
      <c r="F82" s="108"/>
      <c r="G82" s="63"/>
      <c r="H82" s="63"/>
      <c r="I82" s="63"/>
      <c r="J82" s="63"/>
      <c r="K82" s="63"/>
      <c r="L82" s="63"/>
      <c r="M82" s="63"/>
      <c r="O82" s="21"/>
      <c r="P82" s="21"/>
      <c r="Q82" s="21"/>
      <c r="R82" s="21"/>
      <c r="S82" s="21"/>
      <c r="T82" s="21"/>
      <c r="U82" s="21"/>
      <c r="V82" s="21"/>
      <c r="W82" s="21"/>
      <c r="X82" s="22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</row>
    <row r="83" ht="19.5" customHeight="1">
      <c r="A83" s="21"/>
      <c r="B83" s="21"/>
      <c r="C83" s="35"/>
      <c r="D83" s="35"/>
      <c r="E83" s="63"/>
      <c r="F83" s="59"/>
      <c r="G83" s="63"/>
      <c r="H83" s="63"/>
      <c r="I83" s="63"/>
      <c r="J83" s="63"/>
      <c r="K83" s="63"/>
      <c r="L83" s="63"/>
      <c r="M83" s="63"/>
      <c r="O83" s="21"/>
      <c r="P83" s="21"/>
      <c r="Q83" s="21"/>
      <c r="R83" s="21"/>
      <c r="S83" s="21"/>
      <c r="T83" s="21"/>
      <c r="U83" s="21"/>
      <c r="V83" s="21"/>
      <c r="W83" s="21"/>
      <c r="X83" s="22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</row>
    <row r="84" ht="19.5" customHeight="1">
      <c r="A84" s="21"/>
      <c r="B84" s="21"/>
      <c r="C84" s="35"/>
      <c r="D84" s="35"/>
      <c r="E84" s="63"/>
      <c r="F84" s="108"/>
      <c r="G84" s="63"/>
      <c r="H84" s="63"/>
      <c r="I84" s="63"/>
      <c r="J84" s="63"/>
      <c r="K84" s="63"/>
      <c r="L84" s="63"/>
      <c r="M84" s="63"/>
      <c r="O84" s="21"/>
      <c r="P84" s="21"/>
      <c r="Q84" s="21"/>
      <c r="R84" s="21"/>
      <c r="S84" s="21"/>
      <c r="T84" s="21"/>
      <c r="U84" s="21"/>
      <c r="V84" s="21"/>
      <c r="W84" s="21"/>
      <c r="X84" s="22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</row>
    <row r="85" ht="19.5" customHeight="1">
      <c r="A85" s="21"/>
      <c r="B85" s="21"/>
      <c r="C85" s="35"/>
      <c r="D85" s="35"/>
      <c r="E85" s="63"/>
      <c r="F85" s="59"/>
      <c r="G85" s="63"/>
      <c r="H85" s="63"/>
      <c r="I85" s="63"/>
      <c r="J85" s="63"/>
      <c r="K85" s="63"/>
      <c r="L85" s="63"/>
      <c r="M85" s="63"/>
      <c r="O85" s="21"/>
      <c r="P85" s="21"/>
      <c r="Q85" s="21"/>
      <c r="R85" s="21"/>
      <c r="S85" s="21"/>
      <c r="T85" s="21"/>
      <c r="U85" s="21"/>
      <c r="V85" s="21"/>
      <c r="W85" s="21"/>
      <c r="X85" s="22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</row>
    <row r="86" ht="19.5" customHeight="1">
      <c r="A86" s="21"/>
      <c r="B86" s="21"/>
      <c r="C86" s="35"/>
      <c r="D86" s="35"/>
      <c r="E86" s="63"/>
      <c r="F86" s="63"/>
      <c r="G86" s="63"/>
      <c r="H86" s="63"/>
      <c r="I86" s="63"/>
      <c r="J86" s="63"/>
      <c r="K86" s="63"/>
      <c r="L86" s="63"/>
      <c r="M86" s="63"/>
      <c r="O86" s="21"/>
      <c r="P86" s="21"/>
      <c r="Q86" s="21"/>
      <c r="R86" s="21"/>
      <c r="S86" s="21"/>
      <c r="T86" s="21"/>
      <c r="U86" s="21"/>
      <c r="V86" s="21"/>
      <c r="W86" s="21"/>
      <c r="X86" s="22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</row>
    <row r="87" ht="19.5" customHeight="1">
      <c r="A87" s="21"/>
      <c r="B87" s="21"/>
      <c r="C87" s="35"/>
      <c r="D87" s="35"/>
      <c r="E87" s="63"/>
      <c r="O87" s="21"/>
      <c r="P87" s="21"/>
      <c r="Q87" s="21"/>
      <c r="R87" s="21"/>
      <c r="S87" s="21"/>
      <c r="T87" s="21"/>
      <c r="U87" s="21"/>
      <c r="V87" s="21"/>
      <c r="W87" s="21"/>
      <c r="X87" s="22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</row>
    <row r="88" ht="19.5" customHeight="1">
      <c r="A88" s="21"/>
      <c r="B88" s="21"/>
      <c r="C88" s="35"/>
      <c r="D88" s="35"/>
      <c r="E88" s="63"/>
      <c r="O88" s="21"/>
      <c r="P88" s="21"/>
      <c r="Q88" s="21"/>
      <c r="R88" s="21"/>
      <c r="S88" s="21"/>
      <c r="T88" s="21"/>
      <c r="U88" s="21"/>
      <c r="V88" s="21"/>
      <c r="W88" s="21"/>
      <c r="X88" s="22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</row>
    <row r="89" ht="19.5" customHeight="1">
      <c r="A89" s="21"/>
      <c r="B89" s="21"/>
      <c r="C89" s="35"/>
      <c r="D89" s="35"/>
      <c r="E89" s="63"/>
      <c r="O89" s="21"/>
      <c r="P89" s="21"/>
      <c r="Q89" s="21"/>
      <c r="R89" s="21"/>
      <c r="S89" s="21"/>
      <c r="T89" s="21"/>
      <c r="U89" s="21"/>
      <c r="V89" s="21"/>
      <c r="W89" s="21"/>
      <c r="X89" s="22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</row>
    <row r="90" ht="19.5" customHeight="1">
      <c r="A90" s="21"/>
      <c r="B90" s="21"/>
      <c r="C90" s="35"/>
      <c r="D90" s="35"/>
      <c r="E90" s="63"/>
      <c r="O90" s="21"/>
      <c r="P90" s="21"/>
      <c r="Q90" s="21"/>
      <c r="R90" s="21"/>
      <c r="S90" s="21"/>
      <c r="T90" s="21"/>
      <c r="U90" s="21"/>
      <c r="V90" s="21"/>
      <c r="W90" s="21"/>
      <c r="X90" s="22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</row>
    <row r="91" ht="19.5" customHeight="1">
      <c r="A91" s="21"/>
      <c r="B91" s="21"/>
      <c r="C91" s="35"/>
      <c r="D91" s="35"/>
      <c r="E91" s="63"/>
      <c r="O91" s="21"/>
      <c r="P91" s="21"/>
      <c r="Q91" s="21"/>
      <c r="R91" s="21"/>
      <c r="S91" s="21"/>
      <c r="T91" s="21"/>
      <c r="U91" s="21"/>
      <c r="V91" s="21"/>
      <c r="W91" s="21"/>
      <c r="X91" s="22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</row>
    <row r="92" ht="19.5" customHeight="1">
      <c r="A92" s="21"/>
      <c r="B92" s="21"/>
      <c r="E92" s="21"/>
      <c r="F92" s="21"/>
      <c r="G92" s="21"/>
      <c r="H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2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</row>
    <row r="93" ht="19.5" customHeight="1">
      <c r="A93" s="21"/>
      <c r="B93" s="21"/>
      <c r="E93" s="21"/>
      <c r="F93" s="21"/>
      <c r="G93" s="21"/>
      <c r="H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2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</row>
    <row r="94" ht="19.5" customHeight="1">
      <c r="A94" s="21"/>
      <c r="B94" s="21"/>
      <c r="E94" s="21"/>
      <c r="F94" s="21"/>
      <c r="G94" s="21"/>
      <c r="H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2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</row>
    <row r="95" ht="19.5" customHeight="1">
      <c r="A95" s="21"/>
      <c r="B95" s="21"/>
      <c r="E95" s="21"/>
      <c r="F95" s="21"/>
      <c r="G95" s="21"/>
      <c r="H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2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</row>
    <row r="96" ht="19.5" customHeight="1">
      <c r="A96" s="21"/>
      <c r="B96" s="21"/>
      <c r="E96" s="21"/>
      <c r="F96" s="21"/>
      <c r="G96" s="21"/>
      <c r="H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2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</row>
    <row r="97" ht="19.5" customHeight="1">
      <c r="A97" s="21"/>
      <c r="B97" s="21"/>
      <c r="E97" s="21"/>
      <c r="F97" s="21"/>
      <c r="G97" s="21"/>
      <c r="H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2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</row>
    <row r="98" ht="19.5" customHeight="1">
      <c r="A98" s="21"/>
      <c r="B98" s="21"/>
      <c r="E98" s="21"/>
      <c r="F98" s="21"/>
      <c r="G98" s="21"/>
      <c r="H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2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</row>
    <row r="99" ht="19.5" customHeight="1">
      <c r="A99" s="21"/>
      <c r="B99" s="21"/>
      <c r="E99" s="21"/>
      <c r="F99" s="21"/>
      <c r="G99" s="21"/>
      <c r="H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2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</row>
    <row r="100" ht="19.5" customHeight="1">
      <c r="A100" s="21"/>
      <c r="B100" s="21"/>
      <c r="E100" s="21"/>
      <c r="F100" s="21"/>
      <c r="G100" s="21"/>
      <c r="H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2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</row>
    <row r="101" ht="19.5" customHeight="1">
      <c r="A101" s="21"/>
      <c r="B101" s="21"/>
      <c r="E101" s="21"/>
      <c r="F101" s="21"/>
      <c r="G101" s="21"/>
      <c r="H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2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</row>
    <row r="102" ht="19.5" customHeight="1">
      <c r="A102" s="21"/>
      <c r="B102" s="21"/>
      <c r="E102" s="21"/>
      <c r="F102" s="21"/>
      <c r="G102" s="21"/>
      <c r="H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2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</row>
    <row r="103" ht="19.5" customHeight="1">
      <c r="A103" s="21"/>
      <c r="B103" s="21"/>
      <c r="E103" s="21"/>
      <c r="F103" s="21"/>
      <c r="G103" s="21"/>
      <c r="H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2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</row>
    <row r="104" ht="19.5" customHeight="1">
      <c r="A104" s="21"/>
      <c r="B104" s="21"/>
      <c r="E104" s="21"/>
      <c r="F104" s="21"/>
      <c r="G104" s="21"/>
      <c r="H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2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</row>
    <row r="105" ht="19.5" customHeight="1">
      <c r="A105" s="21"/>
      <c r="B105" s="21"/>
      <c r="E105" s="21"/>
      <c r="F105" s="21"/>
      <c r="G105" s="21"/>
      <c r="H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2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</row>
    <row r="106" ht="19.5" customHeight="1">
      <c r="A106" s="21"/>
      <c r="B106" s="21"/>
      <c r="E106" s="21"/>
      <c r="F106" s="21"/>
      <c r="G106" s="21"/>
      <c r="H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2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</row>
    <row r="107" ht="19.5" customHeight="1">
      <c r="A107" s="21"/>
      <c r="B107" s="21"/>
      <c r="E107" s="21"/>
      <c r="F107" s="21"/>
      <c r="G107" s="21"/>
      <c r="H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2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</row>
    <row r="108" ht="19.5" customHeight="1">
      <c r="A108" s="21"/>
      <c r="B108" s="21"/>
      <c r="E108" s="21"/>
      <c r="F108" s="21"/>
      <c r="G108" s="21"/>
      <c r="H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2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</row>
    <row r="109" ht="19.5" customHeight="1">
      <c r="A109" s="21"/>
      <c r="B109" s="21"/>
      <c r="E109" s="21"/>
      <c r="F109" s="21"/>
      <c r="G109" s="21"/>
      <c r="H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2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</row>
    <row r="110" ht="19.5" customHeight="1">
      <c r="A110" s="21"/>
      <c r="B110" s="21"/>
      <c r="E110" s="21"/>
      <c r="F110" s="21"/>
      <c r="G110" s="21"/>
      <c r="H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2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</row>
    <row r="111" ht="19.5" customHeight="1">
      <c r="A111" s="21"/>
      <c r="B111" s="21"/>
      <c r="E111" s="21"/>
      <c r="F111" s="21"/>
      <c r="G111" s="21"/>
      <c r="H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2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</row>
    <row r="112" ht="19.5" customHeight="1">
      <c r="A112" s="21"/>
      <c r="B112" s="21"/>
      <c r="E112" s="21"/>
      <c r="F112" s="21"/>
      <c r="G112" s="21"/>
      <c r="H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2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</row>
    <row r="113" ht="19.5" customHeight="1">
      <c r="A113" s="21"/>
      <c r="B113" s="21"/>
      <c r="E113" s="21"/>
      <c r="F113" s="21"/>
      <c r="G113" s="21"/>
      <c r="H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2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</row>
    <row r="114" ht="19.5" customHeight="1">
      <c r="A114" s="21"/>
      <c r="B114" s="21"/>
      <c r="E114" s="21"/>
      <c r="F114" s="21"/>
      <c r="G114" s="21"/>
      <c r="H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2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</row>
    <row r="115" ht="19.5" customHeight="1">
      <c r="A115" s="21"/>
      <c r="B115" s="21"/>
      <c r="E115" s="21"/>
      <c r="F115" s="21"/>
      <c r="G115" s="21"/>
      <c r="H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2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</row>
    <row r="116" ht="19.5" customHeight="1">
      <c r="A116" s="21"/>
      <c r="B116" s="21"/>
      <c r="E116" s="21"/>
      <c r="F116" s="21"/>
      <c r="G116" s="21"/>
      <c r="H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2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</row>
    <row r="117" ht="19.5" customHeight="1">
      <c r="A117" s="21"/>
      <c r="B117" s="21"/>
      <c r="E117" s="21"/>
      <c r="F117" s="21"/>
      <c r="G117" s="21"/>
      <c r="H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2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</row>
    <row r="118" ht="19.5" customHeight="1">
      <c r="A118" s="21"/>
      <c r="B118" s="21"/>
      <c r="E118" s="21"/>
      <c r="F118" s="21"/>
      <c r="G118" s="21"/>
      <c r="H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2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</row>
    <row r="119" ht="19.5" customHeight="1">
      <c r="A119" s="21"/>
      <c r="B119" s="21"/>
      <c r="E119" s="21"/>
      <c r="F119" s="21"/>
      <c r="G119" s="21"/>
      <c r="H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2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</row>
    <row r="120" ht="19.5" customHeight="1">
      <c r="A120" s="21"/>
      <c r="B120" s="21"/>
      <c r="E120" s="21"/>
      <c r="F120" s="21"/>
      <c r="G120" s="21"/>
      <c r="H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2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</row>
    <row r="121" ht="19.5" customHeight="1">
      <c r="A121" s="21"/>
      <c r="B121" s="21"/>
      <c r="E121" s="21"/>
      <c r="F121" s="21"/>
      <c r="G121" s="21"/>
      <c r="H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2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</row>
    <row r="122" ht="19.5" customHeight="1">
      <c r="A122" s="21"/>
      <c r="B122" s="21"/>
      <c r="E122" s="21"/>
      <c r="F122" s="21"/>
      <c r="G122" s="21"/>
      <c r="H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2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</row>
    <row r="123" ht="19.5" customHeight="1">
      <c r="A123" s="21"/>
      <c r="B123" s="21"/>
      <c r="E123" s="21"/>
      <c r="F123" s="21"/>
      <c r="G123" s="21"/>
      <c r="H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2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</row>
    <row r="124" ht="19.5" customHeight="1">
      <c r="A124" s="21"/>
      <c r="B124" s="21"/>
      <c r="E124" s="21"/>
      <c r="F124" s="21"/>
      <c r="G124" s="21"/>
      <c r="H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2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</row>
    <row r="125" ht="19.5" customHeight="1">
      <c r="A125" s="21"/>
      <c r="B125" s="21"/>
      <c r="E125" s="21"/>
      <c r="F125" s="21"/>
      <c r="G125" s="21"/>
      <c r="H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2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</row>
    <row r="126" ht="19.5" customHeight="1">
      <c r="A126" s="21"/>
      <c r="B126" s="21"/>
      <c r="E126" s="21"/>
      <c r="F126" s="21"/>
      <c r="G126" s="21"/>
      <c r="H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2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</row>
    <row r="127" ht="19.5" customHeight="1">
      <c r="A127" s="21"/>
      <c r="B127" s="21"/>
      <c r="E127" s="21"/>
      <c r="F127" s="21"/>
      <c r="G127" s="21"/>
      <c r="H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2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</row>
    <row r="128" ht="19.5" customHeight="1">
      <c r="A128" s="21"/>
      <c r="B128" s="21"/>
      <c r="E128" s="21"/>
      <c r="F128" s="21"/>
      <c r="G128" s="21"/>
      <c r="H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2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</row>
    <row r="129" ht="19.5" customHeight="1">
      <c r="A129" s="21"/>
      <c r="B129" s="21"/>
      <c r="E129" s="21"/>
      <c r="F129" s="21"/>
      <c r="G129" s="21"/>
      <c r="H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2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</row>
    <row r="130" ht="19.5" customHeight="1">
      <c r="A130" s="21"/>
      <c r="B130" s="21"/>
      <c r="E130" s="21"/>
      <c r="F130" s="21"/>
      <c r="G130" s="21"/>
      <c r="H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2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</row>
    <row r="131" ht="19.5" customHeight="1">
      <c r="A131" s="21"/>
      <c r="B131" s="21"/>
      <c r="E131" s="21"/>
      <c r="F131" s="21"/>
      <c r="G131" s="21"/>
      <c r="H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2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</row>
    <row r="132" ht="19.5" customHeight="1">
      <c r="A132" s="21"/>
      <c r="B132" s="21"/>
      <c r="E132" s="21"/>
      <c r="F132" s="21"/>
      <c r="G132" s="21"/>
      <c r="H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2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</row>
    <row r="133" ht="19.5" customHeight="1">
      <c r="A133" s="21"/>
      <c r="B133" s="21"/>
      <c r="E133" s="21"/>
      <c r="F133" s="21"/>
      <c r="G133" s="21"/>
      <c r="H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2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</row>
    <row r="134" ht="19.5" customHeight="1">
      <c r="A134" s="21"/>
      <c r="B134" s="21"/>
      <c r="E134" s="21"/>
      <c r="F134" s="21"/>
      <c r="G134" s="21"/>
      <c r="H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2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</row>
    <row r="135" ht="19.5" customHeight="1">
      <c r="A135" s="21"/>
      <c r="B135" s="21"/>
      <c r="E135" s="21"/>
      <c r="F135" s="21"/>
      <c r="G135" s="21"/>
      <c r="H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2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</row>
    <row r="136" ht="19.5" customHeight="1">
      <c r="A136" s="21"/>
      <c r="B136" s="21"/>
      <c r="E136" s="21"/>
      <c r="F136" s="21"/>
      <c r="G136" s="21"/>
      <c r="H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2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</row>
    <row r="137" ht="19.5" customHeight="1">
      <c r="A137" s="21"/>
      <c r="B137" s="21"/>
      <c r="E137" s="21"/>
      <c r="F137" s="21"/>
      <c r="G137" s="21"/>
      <c r="H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2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</row>
    <row r="138" ht="19.5" customHeight="1">
      <c r="A138" s="21"/>
      <c r="B138" s="21"/>
      <c r="E138" s="21"/>
      <c r="F138" s="21"/>
      <c r="G138" s="21"/>
      <c r="H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2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</row>
    <row r="139" ht="19.5" customHeight="1">
      <c r="A139" s="21"/>
      <c r="B139" s="21"/>
      <c r="E139" s="21"/>
      <c r="F139" s="21"/>
      <c r="G139" s="21"/>
      <c r="H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2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</row>
    <row r="140" ht="19.5" customHeight="1">
      <c r="A140" s="21"/>
      <c r="B140" s="21"/>
      <c r="E140" s="21"/>
      <c r="F140" s="21"/>
      <c r="G140" s="21"/>
      <c r="H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2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</row>
    <row r="141" ht="19.5" customHeight="1">
      <c r="A141" s="21"/>
      <c r="B141" s="21"/>
      <c r="E141" s="21"/>
      <c r="F141" s="21"/>
      <c r="G141" s="21"/>
      <c r="H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2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</row>
    <row r="142" ht="19.5" customHeight="1">
      <c r="A142" s="21"/>
      <c r="B142" s="21"/>
      <c r="E142" s="21"/>
      <c r="F142" s="21"/>
      <c r="G142" s="21"/>
      <c r="H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2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</row>
    <row r="143" ht="19.5" customHeight="1">
      <c r="A143" s="21"/>
      <c r="B143" s="21"/>
      <c r="E143" s="21"/>
      <c r="F143" s="21"/>
      <c r="G143" s="21"/>
      <c r="H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2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</row>
    <row r="144" ht="19.5" customHeight="1">
      <c r="A144" s="21"/>
      <c r="B144" s="21"/>
      <c r="E144" s="21"/>
      <c r="F144" s="21"/>
      <c r="G144" s="21"/>
      <c r="H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2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</row>
    <row r="145" ht="19.5" customHeight="1">
      <c r="A145" s="21"/>
      <c r="B145" s="21"/>
      <c r="E145" s="21"/>
      <c r="F145" s="21"/>
      <c r="G145" s="21"/>
      <c r="H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2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</row>
    <row r="146" ht="19.5" customHeight="1">
      <c r="A146" s="21"/>
      <c r="B146" s="21"/>
      <c r="E146" s="21"/>
      <c r="F146" s="21"/>
      <c r="G146" s="21"/>
      <c r="H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2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</row>
    <row r="147" ht="19.5" customHeight="1">
      <c r="A147" s="21"/>
      <c r="B147" s="21"/>
      <c r="E147" s="21"/>
      <c r="F147" s="21"/>
      <c r="G147" s="21"/>
      <c r="H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2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</row>
    <row r="148" ht="19.5" customHeight="1">
      <c r="A148" s="21"/>
      <c r="B148" s="21"/>
      <c r="E148" s="21"/>
      <c r="F148" s="21"/>
      <c r="G148" s="21"/>
      <c r="H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2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</row>
    <row r="149" ht="19.5" customHeight="1">
      <c r="A149" s="21"/>
      <c r="B149" s="21"/>
      <c r="E149" s="21"/>
      <c r="F149" s="21"/>
      <c r="G149" s="21"/>
      <c r="H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2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</row>
    <row r="150" ht="19.5" customHeight="1">
      <c r="A150" s="21"/>
      <c r="B150" s="21"/>
      <c r="E150" s="21"/>
      <c r="F150" s="21"/>
      <c r="G150" s="21"/>
      <c r="H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2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</row>
    <row r="151" ht="19.5" customHeight="1">
      <c r="A151" s="21"/>
      <c r="B151" s="21"/>
      <c r="E151" s="21"/>
      <c r="F151" s="21"/>
      <c r="G151" s="21"/>
      <c r="H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2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</row>
    <row r="152" ht="19.5" customHeight="1">
      <c r="A152" s="21"/>
      <c r="B152" s="21"/>
      <c r="E152" s="21"/>
      <c r="F152" s="21"/>
      <c r="G152" s="21"/>
      <c r="H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2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</row>
    <row r="153" ht="19.5" customHeight="1">
      <c r="A153" s="21"/>
      <c r="B153" s="21"/>
      <c r="E153" s="21"/>
      <c r="F153" s="21"/>
      <c r="G153" s="21"/>
      <c r="H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2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</row>
    <row r="154" ht="19.5" customHeight="1">
      <c r="A154" s="21"/>
      <c r="B154" s="21"/>
      <c r="E154" s="21"/>
      <c r="F154" s="21"/>
      <c r="G154" s="21"/>
      <c r="H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2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</row>
    <row r="155" ht="19.5" customHeight="1">
      <c r="A155" s="21"/>
      <c r="B155" s="21"/>
      <c r="E155" s="21"/>
      <c r="F155" s="21"/>
      <c r="G155" s="21"/>
      <c r="H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2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</row>
    <row r="156" ht="19.5" customHeight="1">
      <c r="A156" s="21"/>
      <c r="B156" s="21"/>
      <c r="E156" s="21"/>
      <c r="F156" s="21"/>
      <c r="G156" s="21"/>
      <c r="H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2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</row>
    <row r="157" ht="19.5" customHeight="1">
      <c r="A157" s="21"/>
      <c r="B157" s="21"/>
      <c r="E157" s="21"/>
      <c r="F157" s="21"/>
      <c r="G157" s="21"/>
      <c r="H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2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</row>
    <row r="158" ht="19.5" customHeight="1">
      <c r="A158" s="21"/>
      <c r="B158" s="21"/>
      <c r="E158" s="21"/>
      <c r="F158" s="21"/>
      <c r="G158" s="21"/>
      <c r="H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2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</row>
    <row r="159" ht="19.5" customHeight="1">
      <c r="A159" s="21"/>
      <c r="B159" s="21"/>
      <c r="E159" s="21"/>
      <c r="F159" s="21"/>
      <c r="G159" s="21"/>
      <c r="H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2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</row>
    <row r="160" ht="19.5" customHeight="1">
      <c r="A160" s="21"/>
      <c r="B160" s="21"/>
      <c r="E160" s="21"/>
      <c r="F160" s="21"/>
      <c r="G160" s="21"/>
      <c r="H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2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</row>
    <row r="161" ht="19.5" customHeight="1">
      <c r="A161" s="21"/>
      <c r="B161" s="21"/>
      <c r="E161" s="21"/>
      <c r="F161" s="21"/>
      <c r="G161" s="21"/>
      <c r="H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2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</row>
    <row r="162" ht="19.5" customHeight="1">
      <c r="A162" s="21"/>
      <c r="B162" s="21"/>
      <c r="E162" s="21"/>
      <c r="F162" s="21"/>
      <c r="G162" s="21"/>
      <c r="H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2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</row>
    <row r="163" ht="19.5" customHeight="1">
      <c r="A163" s="21"/>
      <c r="B163" s="21"/>
      <c r="E163" s="21"/>
      <c r="F163" s="21"/>
      <c r="G163" s="21"/>
      <c r="H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2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</row>
    <row r="164" ht="19.5" customHeight="1">
      <c r="A164" s="21"/>
      <c r="B164" s="21"/>
      <c r="E164" s="21"/>
      <c r="F164" s="21"/>
      <c r="G164" s="21"/>
      <c r="H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2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</row>
    <row r="165" ht="19.5" customHeight="1">
      <c r="A165" s="21"/>
      <c r="B165" s="21"/>
      <c r="E165" s="21"/>
      <c r="F165" s="21"/>
      <c r="G165" s="21"/>
      <c r="H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2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</row>
    <row r="166" ht="19.5" customHeight="1">
      <c r="A166" s="21"/>
      <c r="B166" s="21"/>
      <c r="E166" s="21"/>
      <c r="F166" s="21"/>
      <c r="G166" s="21"/>
      <c r="H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2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</row>
    <row r="167" ht="19.5" customHeight="1">
      <c r="A167" s="21"/>
      <c r="B167" s="21"/>
      <c r="E167" s="21"/>
      <c r="F167" s="21"/>
      <c r="G167" s="21"/>
      <c r="H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2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</row>
    <row r="168" ht="19.5" customHeight="1">
      <c r="A168" s="21"/>
      <c r="B168" s="21"/>
      <c r="E168" s="21"/>
      <c r="F168" s="21"/>
      <c r="G168" s="21"/>
      <c r="H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2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</row>
    <row r="169" ht="19.5" customHeight="1">
      <c r="A169" s="21"/>
      <c r="B169" s="21"/>
      <c r="E169" s="21"/>
      <c r="F169" s="21"/>
      <c r="G169" s="21"/>
      <c r="H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2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ht="19.5" customHeight="1">
      <c r="A170" s="21"/>
      <c r="B170" s="21"/>
      <c r="E170" s="21"/>
      <c r="F170" s="21"/>
      <c r="G170" s="21"/>
      <c r="H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2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ht="19.5" customHeight="1">
      <c r="A171" s="21"/>
      <c r="B171" s="21"/>
      <c r="E171" s="21"/>
      <c r="F171" s="21"/>
      <c r="G171" s="21"/>
      <c r="H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2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</row>
    <row r="172" ht="19.5" customHeight="1">
      <c r="A172" s="21"/>
      <c r="B172" s="21"/>
      <c r="E172" s="21"/>
      <c r="F172" s="21"/>
      <c r="G172" s="21"/>
      <c r="H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2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</row>
    <row r="173" ht="19.5" customHeight="1">
      <c r="A173" s="21"/>
      <c r="B173" s="21"/>
      <c r="E173" s="21"/>
      <c r="F173" s="21"/>
      <c r="G173" s="21"/>
      <c r="H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2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</row>
    <row r="174" ht="19.5" customHeight="1">
      <c r="A174" s="21"/>
      <c r="B174" s="21"/>
      <c r="E174" s="21"/>
      <c r="F174" s="21"/>
      <c r="G174" s="21"/>
      <c r="H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2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</row>
    <row r="175" ht="19.5" customHeight="1">
      <c r="A175" s="21"/>
      <c r="B175" s="21"/>
      <c r="E175" s="21"/>
      <c r="F175" s="21"/>
      <c r="G175" s="21"/>
      <c r="H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2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</row>
    <row r="176" ht="19.5" customHeight="1">
      <c r="A176" s="21"/>
      <c r="B176" s="21"/>
      <c r="E176" s="21"/>
      <c r="F176" s="21"/>
      <c r="G176" s="21"/>
      <c r="H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2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</row>
    <row r="177" ht="19.5" customHeight="1">
      <c r="A177" s="21"/>
      <c r="B177" s="21"/>
      <c r="E177" s="21"/>
      <c r="F177" s="21"/>
      <c r="G177" s="21"/>
      <c r="H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2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</row>
    <row r="178" ht="19.5" customHeight="1">
      <c r="A178" s="21"/>
      <c r="B178" s="21"/>
      <c r="E178" s="21"/>
      <c r="F178" s="21"/>
      <c r="G178" s="21"/>
      <c r="H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2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</row>
    <row r="179" ht="19.5" customHeight="1">
      <c r="A179" s="21"/>
      <c r="B179" s="21"/>
      <c r="E179" s="21"/>
      <c r="F179" s="21"/>
      <c r="G179" s="21"/>
      <c r="H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2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</row>
    <row r="180" ht="19.5" customHeight="1">
      <c r="A180" s="21"/>
      <c r="B180" s="21"/>
      <c r="E180" s="21"/>
      <c r="F180" s="21"/>
      <c r="G180" s="21"/>
      <c r="H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2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</row>
    <row r="181" ht="19.5" customHeight="1">
      <c r="A181" s="21"/>
      <c r="B181" s="21"/>
      <c r="E181" s="21"/>
      <c r="F181" s="21"/>
      <c r="G181" s="21"/>
      <c r="H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2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</row>
    <row r="182" ht="19.5" customHeight="1">
      <c r="A182" s="21"/>
      <c r="B182" s="21"/>
      <c r="E182" s="21"/>
      <c r="F182" s="21"/>
      <c r="G182" s="21"/>
      <c r="H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2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</row>
    <row r="183" ht="19.5" customHeight="1">
      <c r="A183" s="21"/>
      <c r="B183" s="21"/>
      <c r="E183" s="21"/>
      <c r="F183" s="21"/>
      <c r="G183" s="21"/>
      <c r="H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2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</row>
    <row r="184" ht="19.5" customHeight="1">
      <c r="A184" s="21"/>
      <c r="B184" s="21"/>
      <c r="E184" s="21"/>
      <c r="F184" s="21"/>
      <c r="G184" s="21"/>
      <c r="H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2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</row>
    <row r="185" ht="19.5" customHeight="1">
      <c r="A185" s="21"/>
      <c r="B185" s="21"/>
      <c r="E185" s="21"/>
      <c r="F185" s="21"/>
      <c r="G185" s="21"/>
      <c r="H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2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</row>
    <row r="186" ht="19.5" customHeight="1">
      <c r="A186" s="21"/>
      <c r="B186" s="21"/>
      <c r="E186" s="21"/>
      <c r="F186" s="21"/>
      <c r="G186" s="21"/>
      <c r="H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2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</row>
    <row r="187" ht="19.5" customHeight="1">
      <c r="A187" s="21"/>
      <c r="B187" s="21"/>
      <c r="E187" s="21"/>
      <c r="F187" s="21"/>
      <c r="G187" s="21"/>
      <c r="H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2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</row>
    <row r="188" ht="19.5" customHeight="1">
      <c r="A188" s="21"/>
      <c r="B188" s="21"/>
      <c r="E188" s="21"/>
      <c r="F188" s="21"/>
      <c r="G188" s="21"/>
      <c r="H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2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</row>
    <row r="189" ht="19.5" customHeight="1">
      <c r="A189" s="21"/>
      <c r="B189" s="21"/>
      <c r="E189" s="21"/>
      <c r="F189" s="21"/>
      <c r="G189" s="21"/>
      <c r="H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2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</row>
    <row r="190" ht="19.5" customHeight="1">
      <c r="A190" s="21"/>
      <c r="B190" s="21"/>
      <c r="E190" s="21"/>
      <c r="F190" s="21"/>
      <c r="G190" s="21"/>
      <c r="H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2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</row>
    <row r="191" ht="19.5" customHeight="1">
      <c r="A191" s="21"/>
      <c r="B191" s="21"/>
      <c r="E191" s="21"/>
      <c r="F191" s="21"/>
      <c r="G191" s="21"/>
      <c r="H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2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</row>
    <row r="192" ht="19.5" customHeight="1">
      <c r="A192" s="21"/>
      <c r="B192" s="21"/>
      <c r="E192" s="21"/>
      <c r="F192" s="21"/>
      <c r="G192" s="21"/>
      <c r="H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2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</row>
    <row r="193" ht="19.5" customHeight="1">
      <c r="A193" s="21"/>
      <c r="B193" s="21"/>
      <c r="E193" s="21"/>
      <c r="F193" s="21"/>
      <c r="G193" s="21"/>
      <c r="H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2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</row>
    <row r="194" ht="19.5" customHeight="1">
      <c r="A194" s="21"/>
      <c r="B194" s="21"/>
      <c r="E194" s="21"/>
      <c r="F194" s="21"/>
      <c r="G194" s="21"/>
      <c r="H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2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</row>
    <row r="195" ht="19.5" customHeight="1">
      <c r="A195" s="21"/>
      <c r="B195" s="21"/>
      <c r="E195" s="21"/>
      <c r="F195" s="21"/>
      <c r="G195" s="21"/>
      <c r="H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2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</row>
    <row r="196" ht="19.5" customHeight="1">
      <c r="A196" s="21"/>
      <c r="B196" s="21"/>
      <c r="E196" s="21"/>
      <c r="F196" s="21"/>
      <c r="G196" s="21"/>
      <c r="H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2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</row>
    <row r="197" ht="19.5" customHeight="1">
      <c r="A197" s="21"/>
      <c r="B197" s="21"/>
      <c r="E197" s="21"/>
      <c r="F197" s="21"/>
      <c r="G197" s="21"/>
      <c r="H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2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</row>
    <row r="198" ht="19.5" customHeight="1">
      <c r="A198" s="21"/>
      <c r="B198" s="21"/>
      <c r="E198" s="21"/>
      <c r="F198" s="21"/>
      <c r="G198" s="21"/>
      <c r="H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2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</row>
    <row r="199" ht="19.5" customHeight="1">
      <c r="A199" s="21"/>
      <c r="B199" s="21"/>
      <c r="E199" s="21"/>
      <c r="F199" s="21"/>
      <c r="G199" s="21"/>
      <c r="H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2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</row>
    <row r="200" ht="19.5" customHeight="1">
      <c r="A200" s="21"/>
      <c r="B200" s="21"/>
      <c r="E200" s="21"/>
      <c r="F200" s="21"/>
      <c r="G200" s="21"/>
      <c r="H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2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</row>
    <row r="201" ht="19.5" customHeight="1">
      <c r="A201" s="21"/>
      <c r="B201" s="21"/>
      <c r="E201" s="21"/>
      <c r="F201" s="21"/>
      <c r="G201" s="21"/>
      <c r="H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2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</row>
    <row r="202" ht="19.5" customHeight="1">
      <c r="A202" s="21"/>
      <c r="B202" s="21"/>
      <c r="E202" s="21"/>
      <c r="F202" s="21"/>
      <c r="G202" s="21"/>
      <c r="H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2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</row>
    <row r="203" ht="19.5" customHeight="1">
      <c r="A203" s="21"/>
      <c r="B203" s="21"/>
      <c r="E203" s="21"/>
      <c r="F203" s="21"/>
      <c r="G203" s="21"/>
      <c r="H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2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</row>
    <row r="204" ht="19.5" customHeight="1">
      <c r="A204" s="21"/>
      <c r="B204" s="21"/>
      <c r="E204" s="21"/>
      <c r="F204" s="21"/>
      <c r="G204" s="21"/>
      <c r="H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2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</row>
    <row r="205" ht="19.5" customHeight="1">
      <c r="A205" s="21"/>
      <c r="B205" s="21"/>
      <c r="E205" s="21"/>
      <c r="F205" s="21"/>
      <c r="G205" s="21"/>
      <c r="H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2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</row>
    <row r="206" ht="19.5" customHeight="1">
      <c r="A206" s="21"/>
      <c r="B206" s="21"/>
      <c r="E206" s="21"/>
      <c r="F206" s="21"/>
      <c r="G206" s="21"/>
      <c r="H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2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</row>
    <row r="207" ht="19.5" customHeight="1">
      <c r="A207" s="21"/>
      <c r="B207" s="21"/>
      <c r="E207" s="21"/>
      <c r="F207" s="21"/>
      <c r="G207" s="21"/>
      <c r="H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2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</row>
    <row r="208" ht="19.5" customHeight="1">
      <c r="A208" s="21"/>
      <c r="B208" s="21"/>
      <c r="E208" s="21"/>
      <c r="F208" s="21"/>
      <c r="G208" s="21"/>
      <c r="H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2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</row>
    <row r="209" ht="19.5" customHeight="1">
      <c r="A209" s="21"/>
      <c r="B209" s="21"/>
      <c r="E209" s="21"/>
      <c r="F209" s="21"/>
      <c r="G209" s="21"/>
      <c r="H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2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</row>
    <row r="210" ht="19.5" customHeight="1">
      <c r="A210" s="21"/>
      <c r="B210" s="21"/>
      <c r="E210" s="21"/>
      <c r="F210" s="21"/>
      <c r="G210" s="21"/>
      <c r="H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2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</row>
    <row r="211" ht="19.5" customHeight="1">
      <c r="A211" s="21"/>
      <c r="B211" s="21"/>
      <c r="E211" s="21"/>
      <c r="F211" s="21"/>
      <c r="G211" s="21"/>
      <c r="H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2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</row>
    <row r="212" ht="19.5" customHeight="1">
      <c r="A212" s="21"/>
      <c r="B212" s="21"/>
      <c r="E212" s="21"/>
      <c r="F212" s="21"/>
      <c r="G212" s="21"/>
      <c r="H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2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</row>
    <row r="213" ht="19.5" customHeight="1">
      <c r="A213" s="21"/>
      <c r="B213" s="21"/>
      <c r="E213" s="21"/>
      <c r="F213" s="21"/>
      <c r="G213" s="21"/>
      <c r="H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2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</row>
    <row r="214" ht="19.5" customHeight="1">
      <c r="A214" s="21"/>
      <c r="B214" s="21"/>
      <c r="E214" s="21"/>
      <c r="F214" s="21"/>
      <c r="G214" s="21"/>
      <c r="H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2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</row>
    <row r="215" ht="19.5" customHeight="1">
      <c r="A215" s="21"/>
      <c r="B215" s="21"/>
      <c r="E215" s="21"/>
      <c r="F215" s="21"/>
      <c r="G215" s="21"/>
      <c r="H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2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</row>
    <row r="216" ht="19.5" customHeight="1">
      <c r="A216" s="21"/>
      <c r="B216" s="21"/>
      <c r="E216" s="21"/>
      <c r="F216" s="21"/>
      <c r="G216" s="21"/>
      <c r="H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2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</row>
    <row r="217" ht="19.5" customHeight="1">
      <c r="A217" s="21"/>
      <c r="B217" s="21"/>
      <c r="E217" s="21"/>
      <c r="F217" s="21"/>
      <c r="G217" s="21"/>
      <c r="H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2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</row>
    <row r="218" ht="19.5" customHeight="1">
      <c r="A218" s="21"/>
      <c r="B218" s="21"/>
      <c r="E218" s="21"/>
      <c r="F218" s="21"/>
      <c r="G218" s="21"/>
      <c r="H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2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</row>
    <row r="219" ht="19.5" customHeight="1">
      <c r="A219" s="21"/>
      <c r="B219" s="21"/>
      <c r="E219" s="21"/>
      <c r="F219" s="21"/>
      <c r="G219" s="21"/>
      <c r="H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2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</row>
    <row r="220" ht="19.5" customHeight="1">
      <c r="A220" s="21"/>
      <c r="B220" s="21"/>
      <c r="E220" s="21"/>
      <c r="F220" s="21"/>
      <c r="G220" s="21"/>
      <c r="H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2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</row>
    <row r="221" ht="19.5" customHeight="1">
      <c r="A221" s="21"/>
      <c r="B221" s="21"/>
      <c r="E221" s="21"/>
      <c r="F221" s="21"/>
      <c r="G221" s="21"/>
      <c r="H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2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</row>
    <row r="222" ht="19.5" customHeight="1">
      <c r="A222" s="21"/>
      <c r="B222" s="21"/>
      <c r="E222" s="21"/>
      <c r="F222" s="21"/>
      <c r="G222" s="21"/>
      <c r="H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2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</row>
    <row r="223" ht="19.5" customHeight="1">
      <c r="A223" s="21"/>
      <c r="B223" s="21"/>
      <c r="E223" s="21"/>
      <c r="F223" s="21"/>
      <c r="G223" s="21"/>
      <c r="H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2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</row>
    <row r="224" ht="19.5" customHeight="1">
      <c r="A224" s="21"/>
      <c r="B224" s="21"/>
      <c r="E224" s="21"/>
      <c r="F224" s="21"/>
      <c r="G224" s="21"/>
      <c r="H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2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</row>
    <row r="225" ht="19.5" customHeight="1">
      <c r="A225" s="21"/>
      <c r="B225" s="21"/>
      <c r="E225" s="21"/>
      <c r="F225" s="21"/>
      <c r="G225" s="21"/>
      <c r="H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2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</row>
    <row r="226" ht="19.5" customHeight="1">
      <c r="A226" s="21"/>
      <c r="B226" s="21"/>
      <c r="E226" s="21"/>
      <c r="F226" s="21"/>
      <c r="G226" s="21"/>
      <c r="H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2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</row>
    <row r="227" ht="19.5" customHeight="1">
      <c r="A227" s="21"/>
      <c r="B227" s="21"/>
      <c r="E227" s="21"/>
      <c r="F227" s="21"/>
      <c r="G227" s="21"/>
      <c r="H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2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</row>
    <row r="228" ht="19.5" customHeight="1">
      <c r="A228" s="21"/>
      <c r="B228" s="21"/>
      <c r="E228" s="21"/>
      <c r="F228" s="21"/>
      <c r="G228" s="21"/>
      <c r="H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2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</row>
    <row r="229" ht="19.5" customHeight="1">
      <c r="A229" s="21"/>
      <c r="B229" s="21"/>
      <c r="E229" s="21"/>
      <c r="F229" s="21"/>
      <c r="G229" s="21"/>
      <c r="H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2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</row>
    <row r="230" ht="19.5" customHeight="1">
      <c r="A230" s="21"/>
      <c r="B230" s="21"/>
      <c r="E230" s="21"/>
      <c r="F230" s="21"/>
      <c r="G230" s="21"/>
      <c r="H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2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</row>
    <row r="231" ht="19.5" customHeight="1">
      <c r="A231" s="21"/>
      <c r="B231" s="21"/>
      <c r="E231" s="21"/>
      <c r="F231" s="21"/>
      <c r="G231" s="21"/>
      <c r="H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2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</row>
    <row r="232" ht="19.5" customHeight="1">
      <c r="A232" s="21"/>
      <c r="B232" s="21"/>
      <c r="E232" s="21"/>
      <c r="F232" s="21"/>
      <c r="G232" s="21"/>
      <c r="H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2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</row>
    <row r="233" ht="19.5" customHeight="1">
      <c r="A233" s="21"/>
      <c r="B233" s="21"/>
      <c r="E233" s="21"/>
      <c r="F233" s="21"/>
      <c r="G233" s="21"/>
      <c r="H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2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</row>
    <row r="234" ht="19.5" customHeight="1">
      <c r="A234" s="21"/>
      <c r="B234" s="21"/>
      <c r="E234" s="21"/>
      <c r="F234" s="21"/>
      <c r="G234" s="21"/>
      <c r="H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2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</row>
    <row r="235" ht="19.5" customHeight="1">
      <c r="A235" s="21"/>
      <c r="B235" s="21"/>
      <c r="E235" s="21"/>
      <c r="F235" s="21"/>
      <c r="G235" s="21"/>
      <c r="H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2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</row>
    <row r="236" ht="19.5" customHeight="1">
      <c r="A236" s="21"/>
      <c r="B236" s="21"/>
      <c r="E236" s="21"/>
      <c r="F236" s="21"/>
      <c r="G236" s="21"/>
      <c r="H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2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</row>
    <row r="237" ht="19.5" customHeight="1">
      <c r="A237" s="21"/>
      <c r="B237" s="21"/>
      <c r="E237" s="21"/>
      <c r="F237" s="21"/>
      <c r="G237" s="21"/>
      <c r="H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2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ht="19.5" customHeight="1">
      <c r="A238" s="21"/>
      <c r="B238" s="21"/>
      <c r="E238" s="21"/>
      <c r="F238" s="21"/>
      <c r="G238" s="21"/>
      <c r="H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2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</row>
    <row r="239" ht="19.5" customHeight="1">
      <c r="A239" s="21"/>
      <c r="B239" s="21"/>
      <c r="E239" s="21"/>
      <c r="F239" s="21"/>
      <c r="G239" s="21"/>
      <c r="H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2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</row>
    <row r="240" ht="19.5" customHeight="1">
      <c r="A240" s="21"/>
      <c r="B240" s="21"/>
      <c r="E240" s="21"/>
      <c r="F240" s="21"/>
      <c r="G240" s="21"/>
      <c r="H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2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</row>
    <row r="241" ht="19.5" customHeight="1">
      <c r="A241" s="21"/>
      <c r="B241" s="21"/>
      <c r="E241" s="21"/>
      <c r="F241" s="21"/>
      <c r="G241" s="21"/>
      <c r="H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2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</row>
    <row r="242" ht="19.5" customHeight="1">
      <c r="A242" s="21"/>
      <c r="B242" s="21"/>
      <c r="E242" s="21"/>
      <c r="F242" s="21"/>
      <c r="G242" s="21"/>
      <c r="H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2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</row>
    <row r="243" ht="19.5" customHeight="1">
      <c r="A243" s="21"/>
      <c r="B243" s="21"/>
      <c r="E243" s="21"/>
      <c r="F243" s="21"/>
      <c r="G243" s="21"/>
      <c r="H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2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</row>
    <row r="244" ht="19.5" customHeight="1">
      <c r="A244" s="21"/>
      <c r="B244" s="21"/>
      <c r="E244" s="21"/>
      <c r="F244" s="21"/>
      <c r="G244" s="21"/>
      <c r="H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2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</row>
    <row r="245" ht="19.5" customHeight="1">
      <c r="A245" s="21"/>
      <c r="B245" s="21"/>
      <c r="E245" s="21"/>
      <c r="F245" s="21"/>
      <c r="G245" s="21"/>
      <c r="H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2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</row>
    <row r="246" ht="19.5" customHeight="1">
      <c r="A246" s="21"/>
      <c r="B246" s="21"/>
      <c r="E246" s="21"/>
      <c r="F246" s="21"/>
      <c r="G246" s="21"/>
      <c r="H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2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</row>
    <row r="247" ht="19.5" customHeight="1">
      <c r="A247" s="21"/>
      <c r="B247" s="21"/>
      <c r="E247" s="21"/>
      <c r="F247" s="21"/>
      <c r="G247" s="21"/>
      <c r="H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2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</row>
    <row r="248" ht="19.5" customHeight="1">
      <c r="A248" s="21"/>
      <c r="B248" s="21"/>
      <c r="E248" s="21"/>
      <c r="F248" s="21"/>
      <c r="G248" s="21"/>
      <c r="H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2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</row>
    <row r="249" ht="19.5" customHeight="1">
      <c r="A249" s="21"/>
      <c r="B249" s="21"/>
      <c r="E249" s="21"/>
      <c r="F249" s="21"/>
      <c r="G249" s="21"/>
      <c r="H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2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</row>
    <row r="250" ht="19.5" customHeight="1">
      <c r="A250" s="21"/>
      <c r="B250" s="21"/>
      <c r="E250" s="21"/>
      <c r="F250" s="21"/>
      <c r="G250" s="21"/>
      <c r="H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2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</row>
    <row r="251" ht="19.5" customHeight="1">
      <c r="A251" s="21"/>
      <c r="B251" s="21"/>
      <c r="E251" s="21"/>
      <c r="F251" s="21"/>
      <c r="G251" s="21"/>
      <c r="H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2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</row>
    <row r="252" ht="19.5" customHeight="1">
      <c r="A252" s="21"/>
      <c r="B252" s="21"/>
      <c r="E252" s="21"/>
      <c r="F252" s="21"/>
      <c r="G252" s="21"/>
      <c r="H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2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E87:M87"/>
    <mergeCell ref="E88:M88"/>
    <mergeCell ref="E89:M89"/>
    <mergeCell ref="E90:M90"/>
    <mergeCell ref="E91:M91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8.63"/>
    <col customWidth="1" min="3" max="3" width="10.63"/>
    <col customWidth="1" min="4" max="4" width="6.63"/>
    <col customWidth="1" min="5" max="5" width="37.13"/>
    <col customWidth="1" min="6" max="6" width="16.63"/>
    <col customWidth="1" min="7" max="7" width="14.63"/>
    <col customWidth="1" min="8" max="8" width="12.13"/>
    <col customWidth="1" min="9" max="9" width="24.38"/>
    <col customWidth="1" min="10" max="10" width="17.88"/>
    <col customWidth="1" min="11" max="11" width="10.13"/>
    <col customWidth="1" min="12" max="12" width="9.75"/>
    <col customWidth="1" min="13" max="13" width="7.38"/>
    <col customWidth="1" min="14" max="14" width="6.63"/>
    <col customWidth="1" min="15" max="15" width="21.38"/>
    <col customWidth="1" min="16" max="16" width="12.0"/>
    <col customWidth="1" min="17" max="17" width="12.88"/>
    <col customWidth="1" min="18" max="18" width="9.88"/>
    <col customWidth="1" min="19" max="19" width="12.63"/>
    <col customWidth="1" min="20" max="20" width="38.5"/>
    <col customWidth="1" min="21" max="21" width="9.25"/>
    <col customWidth="1" min="22" max="22" width="7.0"/>
    <col customWidth="1" min="23" max="23" width="9.25"/>
    <col customWidth="1" min="24" max="24" width="6.25"/>
    <col customWidth="1" min="25" max="25" width="7.13"/>
    <col customWidth="1" min="26" max="26" width="25.88"/>
    <col customWidth="1" min="27" max="27" width="14.0"/>
    <col customWidth="1" min="28" max="28" width="19.13"/>
    <col customWidth="1" min="29" max="29" width="16.38"/>
    <col customWidth="1" min="30" max="30" width="24.88"/>
    <col customWidth="1" min="31" max="31" width="23.63"/>
    <col customWidth="1" min="32" max="32" width="16.63"/>
    <col customWidth="1" min="33" max="33" width="13.13"/>
    <col customWidth="1" min="34" max="34" width="29.25"/>
    <col customWidth="1" min="35" max="35" width="17.5"/>
    <col customWidth="1" min="36" max="36" width="26.13"/>
    <col customWidth="1" min="37" max="37" width="17.75"/>
    <col customWidth="1" min="38" max="38" width="28.25"/>
    <col customWidth="1" min="39" max="39" width="16.63"/>
    <col customWidth="1" min="40" max="40" width="16.25"/>
    <col customWidth="1" min="41" max="41" width="19.63"/>
  </cols>
  <sheetData>
    <row r="1">
      <c r="A1" s="3" t="s">
        <v>3</v>
      </c>
      <c r="B1" s="4"/>
      <c r="D1" s="6"/>
      <c r="E1" s="8"/>
      <c r="F1" s="8"/>
      <c r="G1" s="9"/>
      <c r="H1" s="10" t="s">
        <v>5</v>
      </c>
      <c r="I1" s="9"/>
      <c r="J1" s="8"/>
      <c r="K1" s="8"/>
      <c r="L1" s="8"/>
      <c r="M1" s="8"/>
      <c r="N1" s="6"/>
      <c r="O1" s="8"/>
      <c r="P1" s="8"/>
      <c r="Q1" s="8"/>
      <c r="R1" s="8"/>
      <c r="S1" s="10" t="s">
        <v>7</v>
      </c>
      <c r="T1" s="9"/>
      <c r="U1" s="12"/>
      <c r="V1" s="8"/>
      <c r="W1" s="8"/>
      <c r="X1" s="9"/>
      <c r="Y1" s="14"/>
      <c r="Z1" s="8"/>
      <c r="AA1" s="8"/>
      <c r="AB1" s="8"/>
      <c r="AC1" s="8"/>
      <c r="AD1" s="12"/>
      <c r="AE1" s="8"/>
      <c r="AF1" s="8"/>
      <c r="AG1" s="10" t="s">
        <v>9</v>
      </c>
      <c r="AH1" s="9"/>
      <c r="AI1" s="9"/>
      <c r="AJ1" s="9"/>
      <c r="AK1" s="9"/>
      <c r="AL1" s="9"/>
      <c r="AM1" s="9"/>
      <c r="AN1" s="9"/>
      <c r="AO1" s="16"/>
    </row>
    <row r="2">
      <c r="A2" s="17" t="s">
        <v>15</v>
      </c>
      <c r="B2" s="18"/>
      <c r="D2" s="19"/>
      <c r="E2" s="21"/>
      <c r="F2" s="22"/>
      <c r="G2" s="22"/>
      <c r="H2" s="24"/>
      <c r="I2" s="22"/>
      <c r="J2" s="22"/>
      <c r="K2" s="21"/>
      <c r="L2" s="21"/>
      <c r="M2" s="21"/>
      <c r="N2" s="19"/>
      <c r="O2" s="21"/>
      <c r="P2" s="21"/>
      <c r="Q2" s="21"/>
      <c r="R2" s="21"/>
      <c r="S2" s="21"/>
      <c r="T2" s="22"/>
      <c r="U2" s="21"/>
      <c r="V2" s="21"/>
      <c r="W2" s="21"/>
      <c r="X2" s="22"/>
      <c r="Y2" s="28"/>
      <c r="Z2" s="21"/>
      <c r="AA2" s="21"/>
      <c r="AB2" s="21"/>
      <c r="AC2" s="21"/>
      <c r="AD2" s="21"/>
      <c r="AE2" s="21"/>
      <c r="AF2" s="21"/>
      <c r="AG2" s="22"/>
      <c r="AH2" s="22"/>
      <c r="AI2" s="22"/>
      <c r="AJ2" s="22"/>
      <c r="AK2" s="22"/>
      <c r="AL2" s="22"/>
      <c r="AM2" s="22"/>
      <c r="AN2" s="22"/>
      <c r="AO2" s="29"/>
    </row>
    <row r="3">
      <c r="A3" s="30" t="s">
        <v>19</v>
      </c>
      <c r="B3" s="32">
        <v>120000.0</v>
      </c>
      <c r="D3" s="19"/>
      <c r="E3" s="21"/>
      <c r="F3" s="21"/>
      <c r="G3" s="21"/>
      <c r="H3" s="21"/>
      <c r="I3" s="21"/>
      <c r="J3" s="21"/>
      <c r="K3" s="21"/>
      <c r="L3" s="21"/>
      <c r="M3" s="21"/>
      <c r="N3" s="19"/>
      <c r="O3" s="21"/>
      <c r="P3" s="21"/>
      <c r="Q3" s="21"/>
      <c r="R3" s="21"/>
      <c r="S3" s="21"/>
      <c r="T3" s="22"/>
      <c r="U3" s="21"/>
      <c r="V3" s="21"/>
      <c r="W3" s="21"/>
      <c r="X3" s="22"/>
      <c r="Y3" s="28"/>
      <c r="Z3" s="21"/>
      <c r="AA3" s="21"/>
      <c r="AB3" s="21"/>
      <c r="AC3" s="21"/>
      <c r="AD3" s="21"/>
      <c r="AE3" s="21"/>
      <c r="AF3" s="21"/>
      <c r="AG3" s="22"/>
      <c r="AH3" s="22"/>
      <c r="AI3" s="22"/>
      <c r="AJ3" s="22"/>
      <c r="AK3" s="22"/>
      <c r="AL3" s="22"/>
      <c r="AM3" s="22"/>
      <c r="AN3" s="22"/>
      <c r="AO3" s="29"/>
    </row>
    <row r="4">
      <c r="A4" s="30" t="s">
        <v>28</v>
      </c>
      <c r="B4" s="34">
        <v>0.068</v>
      </c>
      <c r="C4" s="35"/>
      <c r="D4" s="19"/>
      <c r="E4" s="36" t="s">
        <v>33</v>
      </c>
      <c r="F4" s="37" t="s">
        <v>35</v>
      </c>
      <c r="G4" s="38" t="s">
        <v>37</v>
      </c>
      <c r="H4" s="22"/>
      <c r="I4" s="21"/>
      <c r="J4" s="39" t="s">
        <v>38</v>
      </c>
      <c r="K4" s="41">
        <f>$B$3</f>
        <v>120000</v>
      </c>
      <c r="L4" s="21"/>
      <c r="M4" s="21"/>
      <c r="N4" s="19"/>
      <c r="O4" s="42" t="s">
        <v>43</v>
      </c>
      <c r="P4" s="43"/>
      <c r="Q4" s="22"/>
      <c r="R4" s="22"/>
      <c r="S4" s="22"/>
      <c r="T4" s="42" t="s">
        <v>46</v>
      </c>
      <c r="U4" s="21"/>
      <c r="V4" s="21"/>
      <c r="W4" s="21"/>
      <c r="X4" s="22"/>
      <c r="Y4" s="28"/>
      <c r="Z4" s="36" t="s">
        <v>47</v>
      </c>
      <c r="AA4" s="44"/>
      <c r="AB4" s="45"/>
      <c r="AC4" s="22"/>
      <c r="AD4" s="42" t="s">
        <v>49</v>
      </c>
      <c r="AE4" s="43"/>
      <c r="AF4" s="22"/>
      <c r="AG4" s="22"/>
      <c r="AH4" s="42" t="s">
        <v>52</v>
      </c>
      <c r="AI4" s="22"/>
      <c r="AJ4" s="22"/>
      <c r="AK4" s="22"/>
      <c r="AL4" s="42" t="s">
        <v>56</v>
      </c>
      <c r="AM4" s="43"/>
      <c r="AN4" s="22"/>
      <c r="AO4" s="29"/>
    </row>
    <row r="5">
      <c r="A5" s="30" t="s">
        <v>57</v>
      </c>
      <c r="B5" s="34">
        <v>0.012</v>
      </c>
      <c r="C5" s="35"/>
      <c r="D5" s="19"/>
      <c r="E5" s="46" t="s">
        <v>59</v>
      </c>
      <c r="F5" s="48">
        <f>1-$B$4-$B$5</f>
        <v>0.92</v>
      </c>
      <c r="G5" s="49">
        <f>$B$4</f>
        <v>0.068</v>
      </c>
      <c r="H5" s="48"/>
      <c r="I5" s="21"/>
      <c r="J5" s="21"/>
      <c r="K5" s="21"/>
      <c r="L5" s="21"/>
      <c r="M5" s="21"/>
      <c r="N5" s="19"/>
      <c r="O5" s="50" t="s">
        <v>68</v>
      </c>
      <c r="P5" s="37" t="s">
        <v>70</v>
      </c>
      <c r="Q5" s="38" t="s">
        <v>71</v>
      </c>
      <c r="R5" s="22"/>
      <c r="S5" s="22"/>
      <c r="T5" s="50" t="s">
        <v>73</v>
      </c>
      <c r="U5" s="37" t="s">
        <v>35</v>
      </c>
      <c r="V5" s="38" t="s">
        <v>37</v>
      </c>
      <c r="W5" s="21"/>
      <c r="X5" s="22"/>
      <c r="Y5" s="28"/>
      <c r="Z5" s="46" t="s">
        <v>73</v>
      </c>
      <c r="AA5" s="51" t="s">
        <v>35</v>
      </c>
      <c r="AB5" s="52" t="s">
        <v>37</v>
      </c>
      <c r="AC5" s="43"/>
      <c r="AD5" s="50" t="s">
        <v>73</v>
      </c>
      <c r="AE5" s="37" t="s">
        <v>35</v>
      </c>
      <c r="AF5" s="38" t="s">
        <v>37</v>
      </c>
      <c r="AG5" s="21"/>
      <c r="AH5" s="50" t="s">
        <v>73</v>
      </c>
      <c r="AI5" s="37" t="s">
        <v>35</v>
      </c>
      <c r="AJ5" s="38" t="s">
        <v>37</v>
      </c>
      <c r="AK5" s="21"/>
      <c r="AL5" s="50" t="s">
        <v>73</v>
      </c>
      <c r="AM5" s="37" t="s">
        <v>35</v>
      </c>
      <c r="AN5" s="38" t="s">
        <v>37</v>
      </c>
      <c r="AO5" s="29"/>
    </row>
    <row r="6">
      <c r="A6" s="30"/>
      <c r="B6" s="54"/>
      <c r="C6" s="35"/>
      <c r="D6" s="19"/>
      <c r="E6" s="46" t="s">
        <v>83</v>
      </c>
      <c r="F6" s="55" t="s">
        <v>84</v>
      </c>
      <c r="G6" s="49">
        <f>$B$5</f>
        <v>0.012</v>
      </c>
      <c r="H6" s="22"/>
      <c r="I6" s="21"/>
      <c r="J6" s="42" t="s">
        <v>86</v>
      </c>
      <c r="K6" s="21"/>
      <c r="L6" s="21"/>
      <c r="M6" s="21"/>
      <c r="N6" s="56"/>
      <c r="O6" s="57">
        <f>'Simple Inputs'!$E$27</f>
        <v>3</v>
      </c>
      <c r="P6" s="59">
        <f>'Simple Inputs'!$F$27</f>
        <v>1.99</v>
      </c>
      <c r="Q6" s="61">
        <f t="shared" ref="Q6:Q9" si="2">P6/O6</f>
        <v>0.6633333333</v>
      </c>
      <c r="R6" s="22"/>
      <c r="S6" s="22"/>
      <c r="T6" s="62" t="s">
        <v>92</v>
      </c>
      <c r="U6" s="63">
        <v>3.0</v>
      </c>
      <c r="V6" s="64">
        <v>3.0</v>
      </c>
      <c r="W6" s="21"/>
      <c r="X6" s="22"/>
      <c r="Y6" s="28"/>
      <c r="Z6" s="62" t="s">
        <v>95</v>
      </c>
      <c r="AA6" s="55">
        <v>5100.0</v>
      </c>
      <c r="AB6" s="65">
        <v>20000.0</v>
      </c>
      <c r="AC6" s="55"/>
      <c r="AD6" s="62" t="s">
        <v>95</v>
      </c>
      <c r="AE6" s="55">
        <v>4300.0</v>
      </c>
      <c r="AF6" s="65">
        <v>25000.0</v>
      </c>
      <c r="AG6" s="21"/>
      <c r="AH6" s="62" t="s">
        <v>92</v>
      </c>
      <c r="AI6" s="55">
        <v>0.0</v>
      </c>
      <c r="AJ6" s="65">
        <v>0.0</v>
      </c>
      <c r="AK6" s="67"/>
      <c r="AL6" s="62" t="s">
        <v>95</v>
      </c>
      <c r="AM6" s="55">
        <v>0.0</v>
      </c>
      <c r="AN6" s="65">
        <v>0.0</v>
      </c>
      <c r="AO6" s="68"/>
    </row>
    <row r="7">
      <c r="A7" s="17" t="s">
        <v>99</v>
      </c>
      <c r="B7" s="18"/>
      <c r="C7" s="35"/>
      <c r="D7" s="19"/>
      <c r="E7" s="46" t="s">
        <v>101</v>
      </c>
      <c r="F7" s="55">
        <f t="shared" ref="F7:G7" si="1">FLOOR(F5*$K$4, 1)</f>
        <v>110400</v>
      </c>
      <c r="G7" s="65">
        <f t="shared" si="1"/>
        <v>8160</v>
      </c>
      <c r="H7" s="22"/>
      <c r="I7" s="21"/>
      <c r="J7" s="50" t="s">
        <v>104</v>
      </c>
      <c r="K7" s="37" t="s">
        <v>35</v>
      </c>
      <c r="L7" s="38" t="s">
        <v>37</v>
      </c>
      <c r="M7" s="21"/>
      <c r="N7" s="56"/>
      <c r="O7" s="57">
        <f>'Simple Inputs'!$E$28</f>
        <v>10</v>
      </c>
      <c r="P7" s="59">
        <f>'Simple Inputs'!$F$28</f>
        <v>4.99</v>
      </c>
      <c r="Q7" s="61">
        <f t="shared" si="2"/>
        <v>0.499</v>
      </c>
      <c r="R7" s="22"/>
      <c r="S7" s="22"/>
      <c r="T7" s="62" t="s">
        <v>110</v>
      </c>
      <c r="U7" s="63">
        <v>3.0</v>
      </c>
      <c r="V7" s="64">
        <v>3.0</v>
      </c>
      <c r="W7" s="21"/>
      <c r="X7" s="22"/>
      <c r="Y7" s="28"/>
      <c r="Z7" s="62" t="s">
        <v>112</v>
      </c>
      <c r="AA7" s="55">
        <v>4600.0</v>
      </c>
      <c r="AB7" s="65">
        <v>1400.0</v>
      </c>
      <c r="AC7" s="55"/>
      <c r="AD7" s="62" t="s">
        <v>112</v>
      </c>
      <c r="AE7" s="55">
        <v>5200.0</v>
      </c>
      <c r="AF7" s="65">
        <v>4700.0</v>
      </c>
      <c r="AG7" s="21"/>
      <c r="AH7" s="62" t="s">
        <v>113</v>
      </c>
      <c r="AI7" s="55">
        <v>0.0</v>
      </c>
      <c r="AJ7" s="65">
        <v>4700.0</v>
      </c>
      <c r="AK7" s="67"/>
      <c r="AL7" s="62" t="s">
        <v>112</v>
      </c>
      <c r="AM7" s="55">
        <v>0.0</v>
      </c>
      <c r="AN7" s="65">
        <v>0.0</v>
      </c>
      <c r="AO7" s="68"/>
    </row>
    <row r="8">
      <c r="A8" s="30" t="s">
        <v>115</v>
      </c>
      <c r="B8" s="70">
        <f>$F$26</f>
        <v>173912.112</v>
      </c>
      <c r="C8" s="35"/>
      <c r="D8" s="19"/>
      <c r="E8" s="46" t="s">
        <v>117</v>
      </c>
      <c r="F8" s="55" t="s">
        <v>84</v>
      </c>
      <c r="G8" s="65">
        <f>FLOOR(G6*$K$4, 1)</f>
        <v>1440</v>
      </c>
      <c r="H8" s="22"/>
      <c r="I8" s="21"/>
      <c r="J8" s="46" t="s">
        <v>119</v>
      </c>
      <c r="K8" s="43" t="s">
        <v>84</v>
      </c>
      <c r="L8" s="71">
        <f>'Simple Inputs'!$E$13</f>
        <v>16.99</v>
      </c>
      <c r="M8" s="21"/>
      <c r="N8" s="56"/>
      <c r="O8" s="57">
        <f>'Simple Inputs'!$E$29</f>
        <v>25</v>
      </c>
      <c r="P8" s="59">
        <f>'Simple Inputs'!$F$29</f>
        <v>9.99</v>
      </c>
      <c r="Q8" s="61">
        <f t="shared" si="2"/>
        <v>0.3996</v>
      </c>
      <c r="R8" s="22"/>
      <c r="S8" s="22"/>
      <c r="T8" s="62" t="s">
        <v>113</v>
      </c>
      <c r="U8" s="63">
        <v>3.0</v>
      </c>
      <c r="V8" s="64">
        <v>3.0</v>
      </c>
      <c r="W8" s="21"/>
      <c r="X8" s="22"/>
      <c r="Y8" s="28"/>
      <c r="Z8" s="62" t="s">
        <v>110</v>
      </c>
      <c r="AA8" s="55">
        <v>5300.0</v>
      </c>
      <c r="AB8" s="65">
        <v>14000.0</v>
      </c>
      <c r="AC8" s="55"/>
      <c r="AD8" s="62" t="s">
        <v>110</v>
      </c>
      <c r="AE8" s="55">
        <v>2500.0</v>
      </c>
      <c r="AF8" s="65">
        <v>6100.0</v>
      </c>
      <c r="AG8" s="21"/>
      <c r="AH8" s="62" t="s">
        <v>110</v>
      </c>
      <c r="AI8" s="55">
        <v>0.0</v>
      </c>
      <c r="AJ8" s="65">
        <v>0.0</v>
      </c>
      <c r="AK8" s="67"/>
      <c r="AL8" s="62" t="s">
        <v>110</v>
      </c>
      <c r="AM8" s="55">
        <v>0.0</v>
      </c>
      <c r="AN8" s="65">
        <v>0.0</v>
      </c>
      <c r="AO8" s="68"/>
    </row>
    <row r="9">
      <c r="A9" s="30" t="s">
        <v>126</v>
      </c>
      <c r="B9" s="70">
        <f>-$F$27</f>
        <v>14453.40085</v>
      </c>
      <c r="C9" s="35"/>
      <c r="D9" s="19"/>
      <c r="E9" s="72" t="s">
        <v>128</v>
      </c>
      <c r="F9" s="73" t="s">
        <v>84</v>
      </c>
      <c r="G9" s="74">
        <f>FLOOR(G8/12, 1)</f>
        <v>120</v>
      </c>
      <c r="H9" s="63"/>
      <c r="I9" s="21"/>
      <c r="J9" s="72" t="s">
        <v>129</v>
      </c>
      <c r="K9" s="75" t="s">
        <v>84</v>
      </c>
      <c r="L9" s="76">
        <f>'Simple Inputs'!$E$14/12</f>
        <v>14.16583333</v>
      </c>
      <c r="M9" s="21"/>
      <c r="N9" s="56"/>
      <c r="O9" s="77">
        <f>'Simple Inputs'!$E$30</f>
        <v>50</v>
      </c>
      <c r="P9" s="78">
        <f>'Simple Inputs'!$F$30</f>
        <v>17.99</v>
      </c>
      <c r="Q9" s="79">
        <f t="shared" si="2"/>
        <v>0.3598</v>
      </c>
      <c r="R9" s="22"/>
      <c r="S9" s="22"/>
      <c r="T9" s="62" t="s">
        <v>135</v>
      </c>
      <c r="U9" s="63" t="s">
        <v>84</v>
      </c>
      <c r="V9" s="64">
        <v>5.0</v>
      </c>
      <c r="W9" s="21"/>
      <c r="X9" s="22"/>
      <c r="Y9" s="28"/>
      <c r="Z9" s="62" t="s">
        <v>138</v>
      </c>
      <c r="AA9" s="63" t="s">
        <v>84</v>
      </c>
      <c r="AB9" s="65">
        <v>13000.0</v>
      </c>
      <c r="AC9" s="55"/>
      <c r="AD9" s="62" t="s">
        <v>138</v>
      </c>
      <c r="AE9" s="63" t="s">
        <v>84</v>
      </c>
      <c r="AF9" s="65">
        <v>22000.0</v>
      </c>
      <c r="AG9" s="21"/>
      <c r="AH9" s="62" t="s">
        <v>135</v>
      </c>
      <c r="AI9" s="81" t="s">
        <v>84</v>
      </c>
      <c r="AJ9" s="65">
        <v>0.0</v>
      </c>
      <c r="AK9" s="67"/>
      <c r="AL9" s="62" t="s">
        <v>138</v>
      </c>
      <c r="AM9" s="63" t="s">
        <v>84</v>
      </c>
      <c r="AN9" s="65">
        <v>0.0</v>
      </c>
      <c r="AO9" s="68"/>
    </row>
    <row r="10">
      <c r="A10" s="30" t="s">
        <v>145</v>
      </c>
      <c r="B10" s="70">
        <f>-$F$28</f>
        <v>9011.331563</v>
      </c>
      <c r="D10" s="19"/>
      <c r="E10" s="21"/>
      <c r="F10" s="21"/>
      <c r="G10" s="21"/>
      <c r="H10" s="21"/>
      <c r="I10" s="21"/>
      <c r="J10" s="21"/>
      <c r="K10" s="21"/>
      <c r="L10" s="43"/>
      <c r="M10" s="21"/>
      <c r="N10" s="56"/>
      <c r="O10" s="67"/>
      <c r="P10" s="22"/>
      <c r="Q10" s="22"/>
      <c r="R10" s="22"/>
      <c r="S10" s="22"/>
      <c r="T10" s="83" t="s">
        <v>151</v>
      </c>
      <c r="U10" s="84" t="s">
        <v>84</v>
      </c>
      <c r="V10" s="85" t="s">
        <v>84</v>
      </c>
      <c r="W10" s="21"/>
      <c r="X10" s="22"/>
      <c r="Y10" s="28"/>
      <c r="Z10" s="62" t="s">
        <v>152</v>
      </c>
      <c r="AA10" s="63" t="s">
        <v>84</v>
      </c>
      <c r="AB10" s="65" t="s">
        <v>84</v>
      </c>
      <c r="AC10" s="55"/>
      <c r="AD10" s="62" t="s">
        <v>152</v>
      </c>
      <c r="AE10" s="63" t="s">
        <v>84</v>
      </c>
      <c r="AF10" s="65" t="s">
        <v>84</v>
      </c>
      <c r="AG10" s="21"/>
      <c r="AH10" s="62" t="s">
        <v>153</v>
      </c>
      <c r="AI10" s="81" t="s">
        <v>84</v>
      </c>
      <c r="AJ10" s="87" t="s">
        <v>84</v>
      </c>
      <c r="AK10" s="67"/>
      <c r="AL10" s="62" t="s">
        <v>152</v>
      </c>
      <c r="AM10" s="63" t="s">
        <v>84</v>
      </c>
      <c r="AN10" s="65" t="s">
        <v>84</v>
      </c>
      <c r="AO10" s="68"/>
    </row>
    <row r="11">
      <c r="A11" s="30" t="s">
        <v>155</v>
      </c>
      <c r="B11" s="70">
        <f>-$F$29</f>
        <v>15085.48244</v>
      </c>
      <c r="C11" s="35"/>
      <c r="D11" s="19"/>
      <c r="E11" s="42" t="s">
        <v>156</v>
      </c>
      <c r="F11" s="63"/>
      <c r="G11" s="22"/>
      <c r="H11" s="22"/>
      <c r="I11" s="21"/>
      <c r="J11" s="42" t="s">
        <v>145</v>
      </c>
      <c r="K11" s="59"/>
      <c r="L11" s="63"/>
      <c r="M11" s="21"/>
      <c r="N11" s="19"/>
      <c r="O11" s="21"/>
      <c r="P11" s="21"/>
      <c r="Q11" s="21"/>
      <c r="R11" s="21"/>
      <c r="S11" s="21"/>
      <c r="T11" s="21"/>
      <c r="U11" s="21"/>
      <c r="V11" s="21"/>
      <c r="W11" s="21"/>
      <c r="X11" s="22"/>
      <c r="Y11" s="28"/>
      <c r="Z11" s="72" t="s">
        <v>158</v>
      </c>
      <c r="AA11" s="88">
        <f t="shared" ref="AA11:AB11" si="3">SUM(AA6:AA10)</f>
        <v>15000</v>
      </c>
      <c r="AB11" s="89">
        <f t="shared" si="3"/>
        <v>48400</v>
      </c>
      <c r="AC11" s="90"/>
      <c r="AD11" s="72" t="s">
        <v>159</v>
      </c>
      <c r="AE11" s="88">
        <f>SUM(AE6:AE10)</f>
        <v>12000</v>
      </c>
      <c r="AF11" s="89">
        <f>SUM(AF6:AF9)</f>
        <v>57800</v>
      </c>
      <c r="AG11" s="21"/>
      <c r="AH11" s="72" t="s">
        <v>160</v>
      </c>
      <c r="AI11" s="88">
        <f>SUM(AI6:AI8)</f>
        <v>0</v>
      </c>
      <c r="AJ11" s="89">
        <f>SUM(AJ6:AJ9)</f>
        <v>4700</v>
      </c>
      <c r="AK11" s="67"/>
      <c r="AL11" s="72" t="s">
        <v>162</v>
      </c>
      <c r="AM11" s="88">
        <f t="shared" ref="AM11:AN11" si="4">SUM(AM6:AM10)</f>
        <v>0</v>
      </c>
      <c r="AN11" s="89">
        <f t="shared" si="4"/>
        <v>0</v>
      </c>
      <c r="AO11" s="68"/>
    </row>
    <row r="12">
      <c r="A12" s="30" t="s">
        <v>163</v>
      </c>
      <c r="B12" s="70">
        <f>-$F$30</f>
        <v>134.016</v>
      </c>
      <c r="C12" s="35"/>
      <c r="D12" s="19"/>
      <c r="E12" s="50" t="s">
        <v>164</v>
      </c>
      <c r="F12" s="37" t="s">
        <v>166</v>
      </c>
      <c r="G12" s="37" t="s">
        <v>167</v>
      </c>
      <c r="H12" s="38" t="s">
        <v>168</v>
      </c>
      <c r="I12" s="21"/>
      <c r="J12" s="50" t="s">
        <v>169</v>
      </c>
      <c r="K12" s="38" t="s">
        <v>22</v>
      </c>
      <c r="L12" s="21"/>
      <c r="M12" s="21"/>
      <c r="N12" s="19"/>
      <c r="O12" s="21"/>
      <c r="P12" s="21"/>
      <c r="Q12" s="21"/>
      <c r="R12" s="21"/>
      <c r="S12" s="21"/>
      <c r="T12" s="21"/>
      <c r="U12" s="21"/>
      <c r="V12" s="21"/>
      <c r="W12" s="21"/>
      <c r="X12" s="22"/>
      <c r="Y12" s="28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9"/>
    </row>
    <row r="13">
      <c r="A13" s="30" t="s">
        <v>180</v>
      </c>
      <c r="B13" s="70">
        <f>-$F$31</f>
        <v>151.14</v>
      </c>
      <c r="C13" s="91"/>
      <c r="D13" s="92"/>
      <c r="E13" s="93" t="s">
        <v>35</v>
      </c>
      <c r="F13" s="63">
        <v>10.0</v>
      </c>
      <c r="G13" s="81">
        <f>(AA30*AM15)+(AA31*AM16)+(AA32*AM17)</f>
        <v>-0.0225</v>
      </c>
      <c r="H13" s="64" t="s">
        <v>84</v>
      </c>
      <c r="I13" s="21"/>
      <c r="J13" s="62" t="s">
        <v>187</v>
      </c>
      <c r="K13" s="96">
        <f>'Simple Inputs'!$E$10</f>
        <v>0.029</v>
      </c>
      <c r="L13" s="21"/>
      <c r="M13" s="21"/>
      <c r="N13" s="19"/>
      <c r="O13" s="42" t="s">
        <v>189</v>
      </c>
      <c r="P13" s="90"/>
      <c r="Q13" s="67"/>
      <c r="R13" s="22"/>
      <c r="S13" s="22"/>
      <c r="T13" s="42" t="s">
        <v>190</v>
      </c>
      <c r="U13" s="43"/>
      <c r="V13" s="22"/>
      <c r="W13" s="22"/>
      <c r="X13" s="22"/>
      <c r="Y13" s="28"/>
      <c r="Z13" s="42" t="s">
        <v>191</v>
      </c>
      <c r="AA13" s="22"/>
      <c r="AB13" s="22"/>
      <c r="AC13" s="22"/>
      <c r="AD13" s="42" t="s">
        <v>193</v>
      </c>
      <c r="AE13" s="22"/>
      <c r="AF13" s="22"/>
      <c r="AG13" s="22"/>
      <c r="AH13" s="42" t="s">
        <v>197</v>
      </c>
      <c r="AI13" s="22"/>
      <c r="AJ13" s="22"/>
      <c r="AK13" s="21"/>
      <c r="AL13" s="42" t="s">
        <v>199</v>
      </c>
      <c r="AM13" s="22"/>
      <c r="AN13" s="22"/>
      <c r="AO13" s="29"/>
    </row>
    <row r="14">
      <c r="A14" s="99" t="s">
        <v>200</v>
      </c>
      <c r="B14" s="100">
        <f>$F$32</f>
        <v>38835.37085</v>
      </c>
      <c r="C14" s="91"/>
      <c r="D14" s="92"/>
      <c r="E14" s="101" t="s">
        <v>37</v>
      </c>
      <c r="F14" s="84">
        <v>150.0</v>
      </c>
      <c r="G14" s="102">
        <f>(AB$30*AN15)+(AB$31*AN16)+(AB$32*AN17)+(AB$33*AN18)</f>
        <v>-1.14189</v>
      </c>
      <c r="H14" s="103">
        <f>(L8+G14)/L8</f>
        <v>0.932790465</v>
      </c>
      <c r="I14" s="21"/>
      <c r="J14" s="101" t="s">
        <v>211</v>
      </c>
      <c r="K14" s="104">
        <f>'Simple Inputs'!$E$11</f>
        <v>0.3</v>
      </c>
      <c r="L14" s="21"/>
      <c r="M14" s="21"/>
      <c r="N14" s="19"/>
      <c r="O14" s="50" t="s">
        <v>104</v>
      </c>
      <c r="P14" s="37" t="s">
        <v>35</v>
      </c>
      <c r="Q14" s="37" t="s">
        <v>37</v>
      </c>
      <c r="R14" s="38" t="s">
        <v>215</v>
      </c>
      <c r="S14" s="22"/>
      <c r="T14" s="105" t="s">
        <v>104</v>
      </c>
      <c r="U14" s="37" t="s">
        <v>35</v>
      </c>
      <c r="V14" s="37" t="s">
        <v>37</v>
      </c>
      <c r="W14" s="38" t="s">
        <v>215</v>
      </c>
      <c r="X14" s="22"/>
      <c r="Y14" s="28"/>
      <c r="Z14" s="50" t="s">
        <v>73</v>
      </c>
      <c r="AA14" s="37" t="s">
        <v>35</v>
      </c>
      <c r="AB14" s="38" t="s">
        <v>37</v>
      </c>
      <c r="AC14" s="43"/>
      <c r="AD14" s="50" t="s">
        <v>73</v>
      </c>
      <c r="AE14" s="37" t="s">
        <v>35</v>
      </c>
      <c r="AF14" s="38" t="s">
        <v>37</v>
      </c>
      <c r="AG14" s="21"/>
      <c r="AH14" s="50" t="s">
        <v>73</v>
      </c>
      <c r="AI14" s="37" t="s">
        <v>35</v>
      </c>
      <c r="AJ14" s="38" t="s">
        <v>37</v>
      </c>
      <c r="AK14" s="21"/>
      <c r="AL14" s="50" t="s">
        <v>73</v>
      </c>
      <c r="AM14" s="37" t="s">
        <v>35</v>
      </c>
      <c r="AN14" s="38" t="s">
        <v>37</v>
      </c>
      <c r="AO14" s="29"/>
    </row>
    <row r="15">
      <c r="A15" s="106" t="s">
        <v>221</v>
      </c>
      <c r="B15" s="107">
        <f>$F$36</f>
        <v>135076.7411</v>
      </c>
      <c r="D15" s="19"/>
      <c r="E15" s="21"/>
      <c r="F15" s="21"/>
      <c r="G15" s="21"/>
      <c r="H15" s="21"/>
      <c r="I15" s="21"/>
      <c r="J15" s="21"/>
      <c r="K15" s="21"/>
      <c r="L15" s="21"/>
      <c r="M15" s="21"/>
      <c r="N15" s="19"/>
      <c r="O15" s="62" t="s">
        <v>121</v>
      </c>
      <c r="P15" s="108">
        <v>0.025</v>
      </c>
      <c r="Q15" s="108">
        <v>0.0095</v>
      </c>
      <c r="R15" s="96">
        <f t="shared" ref="R15:R18" si="9">SUM(P15:Q15)</f>
        <v>0.0345</v>
      </c>
      <c r="S15" s="22"/>
      <c r="T15" s="62" t="s">
        <v>121</v>
      </c>
      <c r="U15" s="59">
        <f>(P24*P6)</f>
        <v>5492.4</v>
      </c>
      <c r="V15" s="59">
        <f t="shared" ref="V15:V18" si="10">Q24*$P6</f>
        <v>181.488</v>
      </c>
      <c r="W15" s="87">
        <f t="shared" ref="W15:W18" si="11">SUM(U15:V15)</f>
        <v>5673.888</v>
      </c>
      <c r="X15" s="22"/>
      <c r="Y15" s="28"/>
      <c r="Z15" s="62" t="s">
        <v>92</v>
      </c>
      <c r="AA15" s="109">
        <f t="shared" ref="AA15:AB15" si="5">AA6*$AF$29*-1</f>
        <v>-0.0051</v>
      </c>
      <c r="AB15" s="87">
        <f t="shared" si="5"/>
        <v>-0.02</v>
      </c>
      <c r="AC15" s="110"/>
      <c r="AD15" s="62" t="s">
        <v>92</v>
      </c>
      <c r="AE15" s="109">
        <f t="shared" ref="AE15:AF15" si="6">AE6*$AF$32*-1</f>
        <v>-0.0215</v>
      </c>
      <c r="AF15" s="61">
        <f t="shared" si="6"/>
        <v>-0.125</v>
      </c>
      <c r="AG15" s="21"/>
      <c r="AH15" s="62" t="s">
        <v>92</v>
      </c>
      <c r="AI15" s="59">
        <f t="shared" ref="AI15:AJ15" si="7">-(AI6*$AF$30+AM6*$AF$31)</f>
        <v>0</v>
      </c>
      <c r="AJ15" s="87">
        <f t="shared" si="7"/>
        <v>0</v>
      </c>
      <c r="AK15" s="59"/>
      <c r="AL15" s="62" t="s">
        <v>92</v>
      </c>
      <c r="AM15" s="109">
        <f t="shared" ref="AM15:AN15" si="8">AI15+AE15+AA15</f>
        <v>-0.0266</v>
      </c>
      <c r="AN15" s="111">
        <f t="shared" si="8"/>
        <v>-0.145</v>
      </c>
      <c r="AO15" s="112"/>
    </row>
    <row r="16">
      <c r="A16" s="30" t="s">
        <v>237</v>
      </c>
      <c r="B16" s="114">
        <f>$F$37</f>
        <v>0.7766954216</v>
      </c>
      <c r="C16" s="35"/>
      <c r="D16" s="19"/>
      <c r="E16" s="42" t="s">
        <v>241</v>
      </c>
      <c r="F16" s="21"/>
      <c r="G16" s="21"/>
      <c r="H16" s="21"/>
      <c r="I16" s="21"/>
      <c r="J16" s="21"/>
      <c r="K16" s="21"/>
      <c r="L16" s="21"/>
      <c r="M16" s="21"/>
      <c r="N16" s="19"/>
      <c r="O16" s="62" t="s">
        <v>124</v>
      </c>
      <c r="P16" s="108">
        <v>0.0075</v>
      </c>
      <c r="Q16" s="108">
        <v>0.003</v>
      </c>
      <c r="R16" s="96">
        <f t="shared" si="9"/>
        <v>0.0105</v>
      </c>
      <c r="S16" s="22"/>
      <c r="T16" s="62" t="s">
        <v>124</v>
      </c>
      <c r="U16" s="59">
        <f t="shared" ref="U16:U18" si="16">P25*P7</f>
        <v>4131.72</v>
      </c>
      <c r="V16" s="59">
        <f t="shared" si="10"/>
        <v>143.712</v>
      </c>
      <c r="W16" s="87">
        <f t="shared" si="11"/>
        <v>4275.432</v>
      </c>
      <c r="X16" s="22"/>
      <c r="Y16" s="28"/>
      <c r="Z16" s="62" t="s">
        <v>113</v>
      </c>
      <c r="AA16" s="109">
        <f t="shared" ref="AA16:AB16" si="12">AA7*$AF$29*-1</f>
        <v>-0.0046</v>
      </c>
      <c r="AB16" s="61">
        <f t="shared" si="12"/>
        <v>-0.0014</v>
      </c>
      <c r="AC16" s="110"/>
      <c r="AD16" s="62" t="s">
        <v>113</v>
      </c>
      <c r="AE16" s="109">
        <f t="shared" ref="AE16:AF16" si="13">AE7*$AF$32*-1</f>
        <v>-0.026</v>
      </c>
      <c r="AF16" s="61">
        <f t="shared" si="13"/>
        <v>-0.0235</v>
      </c>
      <c r="AG16" s="21"/>
      <c r="AH16" s="62" t="s">
        <v>113</v>
      </c>
      <c r="AI16" s="59">
        <f t="shared" ref="AI16:AJ16" si="14">-(AI7*$AF$30+AM7*$AF$31)</f>
        <v>0</v>
      </c>
      <c r="AJ16" s="115">
        <f t="shared" si="14"/>
        <v>-0.005875</v>
      </c>
      <c r="AK16" s="59"/>
      <c r="AL16" s="62" t="s">
        <v>113</v>
      </c>
      <c r="AM16" s="109">
        <f t="shared" ref="AM16:AN16" si="15">AI16+AE16+AA16</f>
        <v>-0.0306</v>
      </c>
      <c r="AN16" s="115">
        <f t="shared" si="15"/>
        <v>-0.030775</v>
      </c>
      <c r="AO16" s="116"/>
    </row>
    <row r="17">
      <c r="A17" s="118" t="s">
        <v>252</v>
      </c>
      <c r="B17" s="119">
        <f>$F$40</f>
        <v>44575.32458</v>
      </c>
      <c r="C17" s="35"/>
      <c r="D17" s="19"/>
      <c r="E17" s="50" t="s">
        <v>255</v>
      </c>
      <c r="F17" s="37" t="s">
        <v>256</v>
      </c>
      <c r="G17" s="37" t="s">
        <v>257</v>
      </c>
      <c r="H17" s="37" t="s">
        <v>258</v>
      </c>
      <c r="I17" s="37" t="s">
        <v>145</v>
      </c>
      <c r="J17" s="37" t="s">
        <v>259</v>
      </c>
      <c r="K17" s="38" t="s">
        <v>260</v>
      </c>
      <c r="L17" s="21"/>
      <c r="M17" s="21"/>
      <c r="N17" s="19"/>
      <c r="O17" s="62" t="s">
        <v>125</v>
      </c>
      <c r="P17" s="108">
        <v>0.0025</v>
      </c>
      <c r="Q17" s="108">
        <v>0.001</v>
      </c>
      <c r="R17" s="96">
        <f t="shared" si="9"/>
        <v>0.0035</v>
      </c>
      <c r="S17" s="22"/>
      <c r="T17" s="62" t="s">
        <v>125</v>
      </c>
      <c r="U17" s="59">
        <f t="shared" si="16"/>
        <v>2757.24</v>
      </c>
      <c r="V17" s="59">
        <f t="shared" si="10"/>
        <v>95.904</v>
      </c>
      <c r="W17" s="87">
        <f t="shared" si="11"/>
        <v>2853.144</v>
      </c>
      <c r="X17" s="22"/>
      <c r="Y17" s="28"/>
      <c r="Z17" s="62" t="s">
        <v>261</v>
      </c>
      <c r="AA17" s="109">
        <f t="shared" ref="AA17:AB17" si="17">AA8*$AF$29*-1</f>
        <v>-0.0053</v>
      </c>
      <c r="AB17" s="111">
        <f t="shared" si="17"/>
        <v>-0.014</v>
      </c>
      <c r="AC17" s="110"/>
      <c r="AD17" s="62" t="s">
        <v>110</v>
      </c>
      <c r="AE17" s="109">
        <f t="shared" ref="AE17:AF17" si="18">AE8*$AF$32*-1</f>
        <v>-0.0125</v>
      </c>
      <c r="AF17" s="61">
        <f t="shared" si="18"/>
        <v>-0.0305</v>
      </c>
      <c r="AG17" s="21"/>
      <c r="AH17" s="62" t="s">
        <v>110</v>
      </c>
      <c r="AI17" s="59">
        <f t="shared" ref="AI17:AJ17" si="19">-(AI8*$AF$30+AM8*$AF$31)</f>
        <v>0</v>
      </c>
      <c r="AJ17" s="87">
        <f t="shared" si="19"/>
        <v>0</v>
      </c>
      <c r="AK17" s="59"/>
      <c r="AL17" s="62" t="s">
        <v>110</v>
      </c>
      <c r="AM17" s="109">
        <f t="shared" ref="AM17:AN17" si="20">AI17+AE17+AA17</f>
        <v>-0.0178</v>
      </c>
      <c r="AN17" s="61">
        <f t="shared" si="20"/>
        <v>-0.0445</v>
      </c>
      <c r="AO17" s="120"/>
    </row>
    <row r="18">
      <c r="A18" s="21"/>
      <c r="B18" s="21"/>
      <c r="C18" s="35"/>
      <c r="D18" s="19"/>
      <c r="E18" s="62" t="s">
        <v>269</v>
      </c>
      <c r="F18" s="63">
        <v>0.0</v>
      </c>
      <c r="G18" s="59">
        <v>0.0</v>
      </c>
      <c r="H18" s="59">
        <v>0.0</v>
      </c>
      <c r="I18" s="59">
        <v>0.0</v>
      </c>
      <c r="J18" s="59">
        <f>F7*G13</f>
        <v>-2484</v>
      </c>
      <c r="K18" s="87">
        <f t="shared" ref="K18:K21" si="21">SUM(H18, I18, J18)</f>
        <v>-2484</v>
      </c>
      <c r="L18" s="21"/>
      <c r="M18" s="21"/>
      <c r="N18" s="19"/>
      <c r="O18" s="62" t="s">
        <v>127</v>
      </c>
      <c r="P18" s="108">
        <v>0.001</v>
      </c>
      <c r="Q18" s="108">
        <v>5.0E-4</v>
      </c>
      <c r="R18" s="96">
        <f t="shared" si="9"/>
        <v>0.0015</v>
      </c>
      <c r="S18" s="22"/>
      <c r="T18" s="62" t="s">
        <v>127</v>
      </c>
      <c r="U18" s="59">
        <f t="shared" si="16"/>
        <v>1986.096</v>
      </c>
      <c r="V18" s="59">
        <f t="shared" si="10"/>
        <v>86.352</v>
      </c>
      <c r="W18" s="87">
        <f t="shared" si="11"/>
        <v>2072.448</v>
      </c>
      <c r="X18" s="22"/>
      <c r="Y18" s="28"/>
      <c r="Z18" s="62" t="s">
        <v>135</v>
      </c>
      <c r="AA18" s="81" t="s">
        <v>84</v>
      </c>
      <c r="AB18" s="111">
        <f>AB9*$AF$29*-1</f>
        <v>-0.013</v>
      </c>
      <c r="AC18" s="110"/>
      <c r="AD18" s="62" t="s">
        <v>135</v>
      </c>
      <c r="AE18" s="81" t="s">
        <v>84</v>
      </c>
      <c r="AF18" s="87">
        <f>AF9*$AF$32*-1</f>
        <v>-0.11</v>
      </c>
      <c r="AG18" s="21"/>
      <c r="AH18" s="62" t="s">
        <v>135</v>
      </c>
      <c r="AI18" s="81" t="s">
        <v>84</v>
      </c>
      <c r="AJ18" s="87">
        <f>-(AJ9*$AF$30+AN9*$AF$31)</f>
        <v>0</v>
      </c>
      <c r="AK18" s="59"/>
      <c r="AL18" s="62" t="s">
        <v>135</v>
      </c>
      <c r="AM18" s="81" t="s">
        <v>84</v>
      </c>
      <c r="AN18" s="111">
        <f>AJ18+AF18+AB18</f>
        <v>-0.123</v>
      </c>
      <c r="AO18" s="112"/>
    </row>
    <row r="19">
      <c r="A19" s="21"/>
      <c r="B19" s="21"/>
      <c r="C19" s="35"/>
      <c r="D19" s="19"/>
      <c r="E19" s="62" t="s">
        <v>283</v>
      </c>
      <c r="F19" s="55">
        <f>G7</f>
        <v>8160</v>
      </c>
      <c r="G19" s="59">
        <f>L8</f>
        <v>16.99</v>
      </c>
      <c r="H19" s="59">
        <f t="shared" ref="H19:H21" si="24">G19*F19</f>
        <v>138638.4</v>
      </c>
      <c r="I19" s="59">
        <f>SUM(H19*K13*-1, $K$14*F19*-1)</f>
        <v>-6468.5136</v>
      </c>
      <c r="J19" s="59">
        <f>G14*G7</f>
        <v>-9317.8224</v>
      </c>
      <c r="K19" s="87">
        <f t="shared" si="21"/>
        <v>122852.064</v>
      </c>
      <c r="L19" s="21"/>
      <c r="M19" s="21"/>
      <c r="N19" s="19"/>
      <c r="O19" s="72" t="s">
        <v>215</v>
      </c>
      <c r="P19" s="122">
        <f t="shared" ref="P19:R19" si="22">SUM(P15:P18)</f>
        <v>0.036</v>
      </c>
      <c r="Q19" s="122">
        <f t="shared" si="22"/>
        <v>0.014</v>
      </c>
      <c r="R19" s="123">
        <f t="shared" si="22"/>
        <v>0.05</v>
      </c>
      <c r="S19" s="22"/>
      <c r="T19" s="72" t="s">
        <v>215</v>
      </c>
      <c r="U19" s="78">
        <f t="shared" ref="U19:W19" si="23">SUM(U15:U18)</f>
        <v>14367.456</v>
      </c>
      <c r="V19" s="78">
        <f t="shared" si="23"/>
        <v>507.456</v>
      </c>
      <c r="W19" s="104">
        <f t="shared" si="23"/>
        <v>14874.912</v>
      </c>
      <c r="X19" s="22"/>
      <c r="Y19" s="28"/>
      <c r="Z19" s="62" t="s">
        <v>151</v>
      </c>
      <c r="AA19" s="81" t="s">
        <v>84</v>
      </c>
      <c r="AB19" s="61" t="s">
        <v>84</v>
      </c>
      <c r="AC19" s="110"/>
      <c r="AD19" s="62" t="s">
        <v>153</v>
      </c>
      <c r="AE19" s="81" t="s">
        <v>84</v>
      </c>
      <c r="AF19" s="87" t="s">
        <v>84</v>
      </c>
      <c r="AG19" s="21"/>
      <c r="AH19" s="62" t="s">
        <v>153</v>
      </c>
      <c r="AI19" s="81" t="s">
        <v>84</v>
      </c>
      <c r="AJ19" s="87" t="s">
        <v>84</v>
      </c>
      <c r="AK19" s="59"/>
      <c r="AL19" s="62" t="s">
        <v>153</v>
      </c>
      <c r="AM19" s="81" t="s">
        <v>84</v>
      </c>
      <c r="AN19" s="87" t="s">
        <v>84</v>
      </c>
      <c r="AO19" s="124"/>
    </row>
    <row r="20">
      <c r="A20" s="21"/>
      <c r="B20" s="21"/>
      <c r="C20" s="91"/>
      <c r="D20" s="92"/>
      <c r="E20" s="93" t="s">
        <v>294</v>
      </c>
      <c r="F20" s="55">
        <f>G9</f>
        <v>120</v>
      </c>
      <c r="G20" s="59">
        <f>'Simple Inputs'!$E$14</f>
        <v>169.99</v>
      </c>
      <c r="H20" s="59">
        <f t="shared" si="24"/>
        <v>20398.8</v>
      </c>
      <c r="I20" s="59">
        <f>SUM(H20*K13*-1, $K$14*F20*-1)</f>
        <v>-627.5652</v>
      </c>
      <c r="J20" s="59">
        <f>G14*G8</f>
        <v>-1644.3216</v>
      </c>
      <c r="K20" s="87">
        <f t="shared" si="21"/>
        <v>18126.9132</v>
      </c>
      <c r="L20" s="21"/>
      <c r="M20" s="21"/>
      <c r="N20" s="127"/>
      <c r="O20" s="128"/>
      <c r="P20" s="22"/>
      <c r="Q20" s="22"/>
      <c r="R20" s="22"/>
      <c r="S20" s="22"/>
      <c r="T20" s="21"/>
      <c r="U20" s="21"/>
      <c r="V20" s="21"/>
      <c r="W20" s="21"/>
      <c r="X20" s="22"/>
      <c r="Y20" s="28"/>
      <c r="Z20" s="72" t="s">
        <v>298</v>
      </c>
      <c r="AA20" s="129">
        <f>SUM(AA15:AA17)</f>
        <v>-0.015</v>
      </c>
      <c r="AB20" s="130">
        <f>SUM(AB15:AB19)</f>
        <v>-0.0484</v>
      </c>
      <c r="AC20" s="59"/>
      <c r="AD20" s="72" t="s">
        <v>300</v>
      </c>
      <c r="AE20" s="129">
        <f>SUM(AE15:AE17)</f>
        <v>-0.06</v>
      </c>
      <c r="AF20" s="131">
        <f>SUM(AF15:AF18)</f>
        <v>-0.289</v>
      </c>
      <c r="AG20" s="21"/>
      <c r="AH20" s="72" t="s">
        <v>303</v>
      </c>
      <c r="AI20" s="132">
        <f>SUM(AI15:AI17)</f>
        <v>0</v>
      </c>
      <c r="AJ20" s="133">
        <f>SUM(AJ15:AJ18)</f>
        <v>-0.005875</v>
      </c>
      <c r="AK20" s="59"/>
      <c r="AL20" s="72" t="s">
        <v>309</v>
      </c>
      <c r="AM20" s="134">
        <f>SUM(AM15:AM17)</f>
        <v>-0.075</v>
      </c>
      <c r="AN20" s="135">
        <f>SUM(AN15:AN18)</f>
        <v>-0.343275</v>
      </c>
      <c r="AO20" s="116"/>
    </row>
    <row r="21">
      <c r="A21" s="21"/>
      <c r="B21" s="21"/>
      <c r="C21" s="91"/>
      <c r="D21" s="92"/>
      <c r="E21" s="93" t="s">
        <v>317</v>
      </c>
      <c r="F21" s="136">
        <f>R28</f>
        <v>4108.8</v>
      </c>
      <c r="G21" s="59">
        <f>W19/R28</f>
        <v>3.620257009</v>
      </c>
      <c r="H21" s="59">
        <f t="shared" si="24"/>
        <v>14874.912</v>
      </c>
      <c r="I21" s="59">
        <f>SUM(H21*K13*-1, $K$14*F21*-1)</f>
        <v>-1664.012448</v>
      </c>
      <c r="J21" s="59">
        <f>SUMPRODUCT($P$24:$P$27,$O$6:$O$9)*$AA$37+SUMPRODUCT($Q$24:$Q$27,$O$6:$O$9)*$AB$37</f>
        <v>-267.9309472</v>
      </c>
      <c r="K21" s="87">
        <f t="shared" si="21"/>
        <v>12942.9686</v>
      </c>
      <c r="L21" s="21"/>
      <c r="M21" s="21"/>
      <c r="N21" s="19"/>
      <c r="O21" s="21"/>
      <c r="P21" s="21"/>
      <c r="Q21" s="21"/>
      <c r="R21" s="21"/>
      <c r="S21" s="21"/>
      <c r="T21" s="22"/>
      <c r="U21" s="22"/>
      <c r="V21" s="22"/>
      <c r="W21" s="22"/>
      <c r="X21" s="22"/>
      <c r="Y21" s="28"/>
      <c r="Z21" s="21"/>
      <c r="AA21" s="21"/>
      <c r="AB21" s="21"/>
      <c r="AC21" s="21"/>
      <c r="AD21" s="21"/>
      <c r="AE21" s="21"/>
      <c r="AF21" s="21"/>
      <c r="AG21" s="22"/>
      <c r="AH21" s="22"/>
      <c r="AI21" s="22"/>
      <c r="AJ21" s="22"/>
      <c r="AK21" s="22"/>
      <c r="AL21" s="21"/>
      <c r="AM21" s="21"/>
      <c r="AN21" s="21"/>
      <c r="AO21" s="29"/>
    </row>
    <row r="22">
      <c r="A22" s="21"/>
      <c r="B22" s="21"/>
      <c r="C22" s="91"/>
      <c r="D22" s="92"/>
      <c r="E22" s="137" t="s">
        <v>336</v>
      </c>
      <c r="F22" s="138">
        <f>SUM(F19:F21)</f>
        <v>12388.8</v>
      </c>
      <c r="G22" s="139"/>
      <c r="H22" s="140">
        <f>SUM(H19:H21)</f>
        <v>173912.112</v>
      </c>
      <c r="I22" s="141">
        <f t="shared" ref="I22:K22" si="25">SUM(I18:I21)</f>
        <v>-8760.091248</v>
      </c>
      <c r="J22" s="141">
        <f t="shared" si="25"/>
        <v>-13714.07495</v>
      </c>
      <c r="K22" s="142">
        <f t="shared" si="25"/>
        <v>151437.9458</v>
      </c>
      <c r="L22" s="21"/>
      <c r="M22" s="21"/>
      <c r="N22" s="19"/>
      <c r="O22" s="42" t="s">
        <v>346</v>
      </c>
      <c r="P22" s="43"/>
      <c r="Q22" s="22"/>
      <c r="R22" s="22"/>
      <c r="S22" s="22"/>
      <c r="T22" s="42" t="s">
        <v>347</v>
      </c>
      <c r="U22" s="43"/>
      <c r="V22" s="22"/>
      <c r="W22" s="22"/>
      <c r="X22" s="22"/>
      <c r="Y22" s="28"/>
      <c r="Z22" s="143" t="s">
        <v>350</v>
      </c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29"/>
    </row>
    <row r="23">
      <c r="A23" s="21"/>
      <c r="B23" s="21"/>
      <c r="D23" s="19"/>
      <c r="E23" s="21"/>
      <c r="F23" s="21"/>
      <c r="G23" s="21"/>
      <c r="H23" s="21"/>
      <c r="I23" s="21"/>
      <c r="J23" s="21"/>
      <c r="K23" s="21"/>
      <c r="L23" s="21"/>
      <c r="M23" s="145"/>
      <c r="N23" s="146"/>
      <c r="O23" s="147" t="s">
        <v>104</v>
      </c>
      <c r="P23" s="37" t="s">
        <v>35</v>
      </c>
      <c r="Q23" s="37" t="s">
        <v>37</v>
      </c>
      <c r="R23" s="38" t="s">
        <v>215</v>
      </c>
      <c r="S23" s="22"/>
      <c r="T23" s="50" t="s">
        <v>104</v>
      </c>
      <c r="U23" s="37" t="s">
        <v>35</v>
      </c>
      <c r="V23" s="37" t="s">
        <v>37</v>
      </c>
      <c r="W23" s="38" t="s">
        <v>215</v>
      </c>
      <c r="X23" s="22"/>
      <c r="Y23" s="28"/>
      <c r="Z23" s="148" t="s">
        <v>104</v>
      </c>
      <c r="AA23" s="149" t="s">
        <v>364</v>
      </c>
      <c r="AB23" s="149" t="s">
        <v>367</v>
      </c>
      <c r="AC23" s="149" t="s">
        <v>368</v>
      </c>
      <c r="AD23" s="149" t="s">
        <v>369</v>
      </c>
      <c r="AE23" s="149" t="s">
        <v>370</v>
      </c>
      <c r="AF23" s="149" t="s">
        <v>371</v>
      </c>
      <c r="AG23" s="149" t="s">
        <v>372</v>
      </c>
      <c r="AH23" s="149" t="s">
        <v>373</v>
      </c>
      <c r="AI23" s="149" t="s">
        <v>374</v>
      </c>
      <c r="AJ23" s="149" t="s">
        <v>375</v>
      </c>
      <c r="AK23" s="149" t="s">
        <v>376</v>
      </c>
      <c r="AL23" s="149" t="s">
        <v>377</v>
      </c>
      <c r="AM23" s="149" t="s">
        <v>378</v>
      </c>
      <c r="AN23" s="150" t="s">
        <v>379</v>
      </c>
      <c r="AO23" s="29"/>
    </row>
    <row r="24">
      <c r="A24" s="21"/>
      <c r="B24" s="21"/>
      <c r="C24" s="35"/>
      <c r="D24" s="19"/>
      <c r="E24" s="151" t="s">
        <v>380</v>
      </c>
      <c r="F24" s="144"/>
      <c r="G24" s="144"/>
      <c r="H24" s="144"/>
      <c r="I24" s="144"/>
      <c r="J24" s="21"/>
      <c r="K24" s="21"/>
      <c r="L24" s="21"/>
      <c r="M24" s="21"/>
      <c r="N24" s="127"/>
      <c r="O24" s="152" t="s">
        <v>121</v>
      </c>
      <c r="P24" s="136">
        <f>P15*$F$7</f>
        <v>2760</v>
      </c>
      <c r="Q24" s="136">
        <f>Q15*(G7+G8)</f>
        <v>91.2</v>
      </c>
      <c r="R24" s="153">
        <f t="shared" ref="R24:R27" si="26">SUM(P24:Q24)</f>
        <v>2851.2</v>
      </c>
      <c r="S24" s="22"/>
      <c r="T24" s="62" t="s">
        <v>121</v>
      </c>
      <c r="U24" s="59">
        <f t="shared" ref="U24:U27" si="27">IF(P24 = 0, 0, (P24*($P6*(1-$P$33)-$P$34-($O6*((-1*$G$13)/$AA$36)))))</f>
        <v>4436.1204</v>
      </c>
      <c r="V24" s="59">
        <f t="shared" ref="V24:V27" si="28">IF(Q24 = 0, 0, (Q24*($P6*(1-$P$33)-$P$34-($O6*((-1*$G$14)/$AB$36)))))</f>
        <v>141.9221568</v>
      </c>
      <c r="W24" s="87">
        <f t="shared" ref="W24:W27" si="29">SUM(U24:V24)</f>
        <v>4578.042557</v>
      </c>
      <c r="X24" s="22"/>
      <c r="Y24" s="28"/>
      <c r="Z24" s="154" t="s">
        <v>35</v>
      </c>
      <c r="AA24" s="155">
        <f>$F$7</f>
        <v>110400</v>
      </c>
      <c r="AB24" s="156">
        <f>'Simple Inputs'!$E$21</f>
        <v>1</v>
      </c>
      <c r="AC24" s="157">
        <f t="shared" ref="AC24:AC25" si="30">AA24*AB24</f>
        <v>110400</v>
      </c>
      <c r="AD24" s="158">
        <f>'Simple Inputs'!$E$17</f>
        <v>0.1</v>
      </c>
      <c r="AE24" s="156">
        <f>'Simple Inputs'!$E$18</f>
        <v>2</v>
      </c>
      <c r="AF24" s="157">
        <f t="shared" ref="AF24:AF25" si="31">AC24*AD24*AE24</f>
        <v>22080</v>
      </c>
      <c r="AG24" s="155">
        <f>$F$7</f>
        <v>110400</v>
      </c>
      <c r="AH24" s="156">
        <f>'Simple Inputs'!$E$23</f>
        <v>0.1</v>
      </c>
      <c r="AI24" s="157">
        <f t="shared" ref="AI24:AI25" si="32">AG24*AH24</f>
        <v>11040</v>
      </c>
      <c r="AJ24" s="158">
        <f>'Simple Inputs'!$E$19</f>
        <v>0.1</v>
      </c>
      <c r="AK24" s="156">
        <f>'Simple Inputs'!$E$20</f>
        <v>6</v>
      </c>
      <c r="AL24" s="157">
        <f t="shared" ref="AL24:AL25" si="33">AI24*AJ24*AK24</f>
        <v>6624</v>
      </c>
      <c r="AM24" s="159">
        <f>'Simple Inputs'!$E$38</f>
        <v>0.004</v>
      </c>
      <c r="AN24" s="160">
        <f t="shared" ref="AN24:AN25" si="34">(AF24+AL24)*AM24</f>
        <v>114.816</v>
      </c>
      <c r="AO24" s="29"/>
    </row>
    <row r="25">
      <c r="A25" s="21"/>
      <c r="B25" s="21"/>
      <c r="C25" s="35"/>
      <c r="D25" s="19"/>
      <c r="E25" s="161" t="s">
        <v>426</v>
      </c>
      <c r="F25" s="162" t="s">
        <v>427</v>
      </c>
      <c r="G25" s="162" t="s">
        <v>430</v>
      </c>
      <c r="H25" s="162" t="s">
        <v>431</v>
      </c>
      <c r="I25" s="163" t="s">
        <v>432</v>
      </c>
      <c r="J25" s="21"/>
      <c r="K25" s="21"/>
      <c r="L25" s="21"/>
      <c r="M25" s="21"/>
      <c r="N25" s="56"/>
      <c r="O25" s="57" t="s">
        <v>124</v>
      </c>
      <c r="P25" s="136">
        <f>P16*F7</f>
        <v>828</v>
      </c>
      <c r="Q25" s="136">
        <f>Q16*(G7+G8)</f>
        <v>28.8</v>
      </c>
      <c r="R25" s="153">
        <f t="shared" si="26"/>
        <v>856.8</v>
      </c>
      <c r="S25" s="22"/>
      <c r="T25" s="62" t="s">
        <v>124</v>
      </c>
      <c r="U25" s="59">
        <f t="shared" si="27"/>
        <v>3694.50012</v>
      </c>
      <c r="V25" s="59">
        <f t="shared" si="28"/>
        <v>123.596256</v>
      </c>
      <c r="W25" s="87">
        <f t="shared" si="29"/>
        <v>3818.096376</v>
      </c>
      <c r="X25" s="22"/>
      <c r="Y25" s="28"/>
      <c r="Z25" s="154" t="s">
        <v>37</v>
      </c>
      <c r="AA25" s="155">
        <f>SUM($G$7:$G$8)</f>
        <v>9600</v>
      </c>
      <c r="AB25" s="156">
        <f>'Simple Inputs'!$E$22</f>
        <v>1</v>
      </c>
      <c r="AC25" s="157">
        <f t="shared" si="30"/>
        <v>9600</v>
      </c>
      <c r="AD25" s="158">
        <f>'Simple Inputs'!$E$17</f>
        <v>0.1</v>
      </c>
      <c r="AE25" s="156">
        <f>'Simple Inputs'!$E$18</f>
        <v>2</v>
      </c>
      <c r="AF25" s="157">
        <f t="shared" si="31"/>
        <v>1920</v>
      </c>
      <c r="AG25" s="155">
        <f>SUM($G$7:$G$8)</f>
        <v>9600</v>
      </c>
      <c r="AH25" s="156">
        <f>'Simple Inputs'!$E$24</f>
        <v>0.5</v>
      </c>
      <c r="AI25" s="157">
        <f t="shared" si="32"/>
        <v>4800</v>
      </c>
      <c r="AJ25" s="158">
        <f>'Simple Inputs'!$E$19</f>
        <v>0.1</v>
      </c>
      <c r="AK25" s="156">
        <f>'Simple Inputs'!$E$20</f>
        <v>6</v>
      </c>
      <c r="AL25" s="157">
        <f t="shared" si="33"/>
        <v>2880</v>
      </c>
      <c r="AM25" s="159">
        <f>'Simple Inputs'!$E$39</f>
        <v>0.004</v>
      </c>
      <c r="AN25" s="160">
        <f t="shared" si="34"/>
        <v>19.2</v>
      </c>
      <c r="AO25" s="112"/>
    </row>
    <row r="26">
      <c r="A26" s="21"/>
      <c r="B26" s="21"/>
      <c r="C26" s="35"/>
      <c r="D26" s="19"/>
      <c r="E26" s="164" t="s">
        <v>258</v>
      </c>
      <c r="F26" s="165">
        <f>$H$22</f>
        <v>173912.112</v>
      </c>
      <c r="G26" s="165">
        <f t="shared" ref="G26:G32" si="36">F26*12</f>
        <v>2086945.344</v>
      </c>
      <c r="H26" s="166" t="s">
        <v>115</v>
      </c>
      <c r="I26" s="167" t="s">
        <v>434</v>
      </c>
      <c r="J26" s="21"/>
      <c r="K26" s="21"/>
      <c r="L26" s="21"/>
      <c r="M26" s="21"/>
      <c r="N26" s="19"/>
      <c r="O26" s="62" t="s">
        <v>125</v>
      </c>
      <c r="P26" s="136">
        <f t="shared" ref="P26:P27" si="37">P17*$F$7</f>
        <v>276</v>
      </c>
      <c r="Q26" s="136">
        <f>Q17*(G7+G8)</f>
        <v>9.6</v>
      </c>
      <c r="R26" s="153">
        <f t="shared" si="26"/>
        <v>285.6</v>
      </c>
      <c r="S26" s="22"/>
      <c r="T26" s="62" t="s">
        <v>125</v>
      </c>
      <c r="U26" s="59">
        <f t="shared" si="27"/>
        <v>2536.98004</v>
      </c>
      <c r="V26" s="59">
        <f t="shared" si="28"/>
        <v>84.152704</v>
      </c>
      <c r="W26" s="87">
        <f t="shared" si="29"/>
        <v>2621.132744</v>
      </c>
      <c r="X26" s="22"/>
      <c r="Y26" s="28"/>
      <c r="Z26" s="168" t="s">
        <v>215</v>
      </c>
      <c r="AA26" s="169">
        <f>SUM(AA24:AA25)</f>
        <v>120000</v>
      </c>
      <c r="AB26" s="170" t="s">
        <v>84</v>
      </c>
      <c r="AC26" s="171">
        <f>SUM(AC24:AC25)</f>
        <v>120000</v>
      </c>
      <c r="AD26" s="170" t="s">
        <v>84</v>
      </c>
      <c r="AE26" s="170" t="s">
        <v>84</v>
      </c>
      <c r="AF26" s="171">
        <f t="shared" ref="AF26:AG26" si="35">SUM(AF24:AF25)</f>
        <v>24000</v>
      </c>
      <c r="AG26" s="169">
        <f t="shared" si="35"/>
        <v>120000</v>
      </c>
      <c r="AH26" s="170" t="s">
        <v>84</v>
      </c>
      <c r="AI26" s="171">
        <f>SUM(AI24:AI25)</f>
        <v>15840</v>
      </c>
      <c r="AJ26" s="170" t="s">
        <v>84</v>
      </c>
      <c r="AK26" s="170" t="s">
        <v>84</v>
      </c>
      <c r="AL26" s="171">
        <f>SUM(AL24:AL25)</f>
        <v>9504</v>
      </c>
      <c r="AM26" s="170" t="s">
        <v>84</v>
      </c>
      <c r="AN26" s="172">
        <f>SUM(AN24:AN25)</f>
        <v>134.016</v>
      </c>
      <c r="AO26" s="112"/>
    </row>
    <row r="27">
      <c r="A27" s="21"/>
      <c r="B27" s="21"/>
      <c r="C27" s="35"/>
      <c r="D27" s="19"/>
      <c r="E27" s="164" t="s">
        <v>435</v>
      </c>
      <c r="F27" s="165">
        <f>SUM($S$41,$S$43,$S$45)</f>
        <v>-14453.40085</v>
      </c>
      <c r="G27" s="165">
        <f t="shared" si="36"/>
        <v>-173440.8102</v>
      </c>
      <c r="H27" s="166" t="s">
        <v>436</v>
      </c>
      <c r="I27" s="167" t="s">
        <v>437</v>
      </c>
      <c r="J27" s="21"/>
      <c r="K27" s="21"/>
      <c r="L27" s="21"/>
      <c r="M27" s="21"/>
      <c r="N27" s="19"/>
      <c r="O27" s="62" t="s">
        <v>127</v>
      </c>
      <c r="P27" s="136">
        <f t="shared" si="37"/>
        <v>110.4</v>
      </c>
      <c r="Q27" s="136">
        <f>Q18*(G7+G8)</f>
        <v>4.8</v>
      </c>
      <c r="R27" s="153">
        <f t="shared" si="26"/>
        <v>115.2</v>
      </c>
      <c r="S27" s="22"/>
      <c r="T27" s="62" t="s">
        <v>127</v>
      </c>
      <c r="U27" s="59">
        <f t="shared" si="27"/>
        <v>1849.379216</v>
      </c>
      <c r="V27" s="59">
        <f t="shared" si="28"/>
        <v>76.317712</v>
      </c>
      <c r="W27" s="87">
        <f t="shared" si="29"/>
        <v>1925.696928</v>
      </c>
      <c r="X27" s="22"/>
      <c r="Y27" s="28"/>
      <c r="AK27" s="110"/>
      <c r="AL27" s="110"/>
      <c r="AM27" s="110"/>
      <c r="AN27" s="110"/>
      <c r="AO27" s="112"/>
    </row>
    <row r="28">
      <c r="A28" s="21"/>
      <c r="B28" s="21"/>
      <c r="C28" s="35"/>
      <c r="D28" s="19"/>
      <c r="E28" s="164" t="s">
        <v>438</v>
      </c>
      <c r="F28" s="165">
        <f>SUM($S$47:$S$50)</f>
        <v>-9011.331563</v>
      </c>
      <c r="G28" s="165">
        <f t="shared" si="36"/>
        <v>-108135.9788</v>
      </c>
      <c r="H28" s="166" t="s">
        <v>436</v>
      </c>
      <c r="I28" s="167" t="s">
        <v>439</v>
      </c>
      <c r="J28" s="21"/>
      <c r="K28" s="21"/>
      <c r="L28" s="21"/>
      <c r="M28" s="21"/>
      <c r="N28" s="19"/>
      <c r="O28" s="72" t="s">
        <v>215</v>
      </c>
      <c r="P28" s="173">
        <f t="shared" ref="P28:R28" si="38">SUM(P24:P27)</f>
        <v>3974.4</v>
      </c>
      <c r="Q28" s="173">
        <f t="shared" si="38"/>
        <v>134.4</v>
      </c>
      <c r="R28" s="174">
        <f t="shared" si="38"/>
        <v>4108.8</v>
      </c>
      <c r="S28" s="22"/>
      <c r="T28" s="72" t="s">
        <v>215</v>
      </c>
      <c r="U28" s="140">
        <f t="shared" ref="U28:W28" si="39">SUM(U24:U27)</f>
        <v>12516.97978</v>
      </c>
      <c r="V28" s="140">
        <f t="shared" si="39"/>
        <v>425.9888288</v>
      </c>
      <c r="W28" s="142">
        <f t="shared" si="39"/>
        <v>12942.9686</v>
      </c>
      <c r="X28" s="22"/>
      <c r="Y28" s="28"/>
      <c r="Z28" s="42" t="s">
        <v>440</v>
      </c>
      <c r="AA28" s="22"/>
      <c r="AB28" s="22"/>
      <c r="AC28" s="22"/>
      <c r="AD28" s="42" t="s">
        <v>441</v>
      </c>
      <c r="AE28" s="21"/>
      <c r="AF28" s="21"/>
      <c r="AG28" s="21"/>
      <c r="AH28" s="143" t="s">
        <v>442</v>
      </c>
      <c r="AI28" s="144"/>
      <c r="AJ28" s="144"/>
      <c r="AK28" s="110"/>
      <c r="AL28" s="110"/>
      <c r="AM28" s="110"/>
      <c r="AN28" s="110"/>
      <c r="AO28" s="112"/>
    </row>
    <row r="29">
      <c r="A29" s="21"/>
      <c r="B29" s="21"/>
      <c r="C29" s="35"/>
      <c r="D29" s="19"/>
      <c r="E29" s="164" t="s">
        <v>443</v>
      </c>
      <c r="F29" s="165">
        <f>$J$22*(1+'Simple Inputs'!$E$9)</f>
        <v>-15085.48244</v>
      </c>
      <c r="G29" s="165">
        <f t="shared" si="36"/>
        <v>-181025.7893</v>
      </c>
      <c r="H29" s="166" t="s">
        <v>436</v>
      </c>
      <c r="I29" s="167" t="s">
        <v>437</v>
      </c>
      <c r="J29" s="21"/>
      <c r="K29" s="21"/>
      <c r="L29" s="21"/>
      <c r="M29" s="21"/>
      <c r="N29" s="19"/>
      <c r="O29" s="21"/>
      <c r="P29" s="21"/>
      <c r="Q29" s="21"/>
      <c r="R29" s="21"/>
      <c r="S29" s="175"/>
      <c r="T29" s="21"/>
      <c r="U29" s="21"/>
      <c r="V29" s="21"/>
      <c r="W29" s="21"/>
      <c r="X29" s="22"/>
      <c r="Y29" s="28"/>
      <c r="Z29" s="50" t="s">
        <v>73</v>
      </c>
      <c r="AA29" s="37" t="s">
        <v>444</v>
      </c>
      <c r="AB29" s="38" t="s">
        <v>445</v>
      </c>
      <c r="AC29" s="22"/>
      <c r="AD29" s="176" t="s">
        <v>446</v>
      </c>
      <c r="AE29" s="177" t="s">
        <v>447</v>
      </c>
      <c r="AF29" s="178">
        <f>1/1000000</f>
        <v>0.000001</v>
      </c>
      <c r="AG29" s="22"/>
      <c r="AH29" s="148" t="s">
        <v>448</v>
      </c>
      <c r="AI29" s="162" t="s">
        <v>449</v>
      </c>
      <c r="AJ29" s="163" t="s">
        <v>450</v>
      </c>
      <c r="AK29" s="110"/>
      <c r="AL29" s="110"/>
      <c r="AM29" s="110"/>
      <c r="AN29" s="110"/>
      <c r="AO29" s="112"/>
    </row>
    <row r="30">
      <c r="A30" s="21"/>
      <c r="B30" s="21"/>
      <c r="C30" s="35"/>
      <c r="D30" s="19"/>
      <c r="E30" s="164" t="s">
        <v>451</v>
      </c>
      <c r="F30" s="165">
        <f>-$AN$26</f>
        <v>-134.016</v>
      </c>
      <c r="G30" s="165">
        <f t="shared" si="36"/>
        <v>-1608.192</v>
      </c>
      <c r="H30" s="166" t="s">
        <v>436</v>
      </c>
      <c r="I30" s="167" t="s">
        <v>437</v>
      </c>
      <c r="J30" s="21"/>
      <c r="K30" s="21"/>
      <c r="L30" s="21"/>
      <c r="M30" s="21"/>
      <c r="N30" s="19"/>
      <c r="O30" s="21"/>
      <c r="P30" s="21"/>
      <c r="Q30" s="21"/>
      <c r="R30" s="21"/>
      <c r="S30" s="22"/>
      <c r="T30" s="22"/>
      <c r="U30" s="22"/>
      <c r="V30" s="22"/>
      <c r="W30" s="22"/>
      <c r="X30" s="179"/>
      <c r="Y30" s="180"/>
      <c r="Z30" s="62" t="s">
        <v>92</v>
      </c>
      <c r="AA30" s="63">
        <v>0.3</v>
      </c>
      <c r="AB30" s="64">
        <v>3.9</v>
      </c>
      <c r="AC30" s="22"/>
      <c r="AD30" s="62" t="s">
        <v>452</v>
      </c>
      <c r="AE30" s="63" t="s">
        <v>453</v>
      </c>
      <c r="AF30" s="181">
        <f>1.25/1000000</f>
        <v>0.00000125</v>
      </c>
      <c r="AG30" s="43"/>
      <c r="AH30" s="154" t="s">
        <v>454</v>
      </c>
      <c r="AI30" s="165">
        <f>'Simple Inputs'!$P$46</f>
        <v>25</v>
      </c>
      <c r="AJ30" s="167" t="s">
        <v>455</v>
      </c>
      <c r="AK30" s="182"/>
      <c r="AL30" s="182"/>
      <c r="AM30" s="182"/>
      <c r="AN30" s="182"/>
      <c r="AO30" s="112"/>
    </row>
    <row r="31">
      <c r="A31" s="21"/>
      <c r="B31" s="21"/>
      <c r="C31" s="35"/>
      <c r="D31" s="19"/>
      <c r="E31" s="164" t="s">
        <v>456</v>
      </c>
      <c r="F31" s="165">
        <f>-$AI$37</f>
        <v>-151.14</v>
      </c>
      <c r="G31" s="165">
        <f t="shared" si="36"/>
        <v>-1813.68</v>
      </c>
      <c r="H31" s="166" t="s">
        <v>436</v>
      </c>
      <c r="I31" s="167" t="s">
        <v>457</v>
      </c>
      <c r="J31" s="21"/>
      <c r="K31" s="21"/>
      <c r="L31" s="21"/>
      <c r="M31" s="21"/>
      <c r="N31" s="19"/>
      <c r="O31" s="42" t="s">
        <v>145</v>
      </c>
      <c r="P31" s="59"/>
      <c r="Q31" s="21"/>
      <c r="R31" s="21"/>
      <c r="S31" s="22"/>
      <c r="T31" s="42" t="s">
        <v>43</v>
      </c>
      <c r="U31" s="43"/>
      <c r="V31" s="22"/>
      <c r="W31" s="22"/>
      <c r="X31" s="22"/>
      <c r="Y31" s="183"/>
      <c r="Z31" s="62" t="s">
        <v>113</v>
      </c>
      <c r="AA31" s="63">
        <v>0.3</v>
      </c>
      <c r="AB31" s="64">
        <v>3.6</v>
      </c>
      <c r="AC31" s="22"/>
      <c r="AD31" s="62" t="s">
        <v>458</v>
      </c>
      <c r="AE31" s="63" t="s">
        <v>459</v>
      </c>
      <c r="AF31" s="181">
        <f>0.1/1000000</f>
        <v>0.0000001</v>
      </c>
      <c r="AG31" s="110"/>
      <c r="AH31" s="154" t="s">
        <v>460</v>
      </c>
      <c r="AI31" s="165">
        <f>IF('Simple Inputs'!$F$47="Yes",MAX(0,$K$4-'Simple Inputs'!$M$47)*'Simple Inputs'!$N$47,0)</f>
        <v>65</v>
      </c>
      <c r="AJ31" s="167" t="s">
        <v>461</v>
      </c>
      <c r="AK31" s="21"/>
      <c r="AL31" s="21"/>
      <c r="AM31" s="21"/>
      <c r="AN31" s="21"/>
      <c r="AO31" s="29"/>
    </row>
    <row r="32">
      <c r="A32" s="21"/>
      <c r="B32" s="21"/>
      <c r="C32" s="35"/>
      <c r="D32" s="19"/>
      <c r="E32" s="164" t="s">
        <v>462</v>
      </c>
      <c r="F32" s="165">
        <f>-SUM(F27:F31)</f>
        <v>38835.37085</v>
      </c>
      <c r="G32" s="165">
        <f t="shared" si="36"/>
        <v>466024.4502</v>
      </c>
      <c r="H32" s="166" t="s">
        <v>463</v>
      </c>
      <c r="I32" s="167" t="s">
        <v>464</v>
      </c>
      <c r="J32" s="21"/>
      <c r="K32" s="21"/>
      <c r="L32" s="21"/>
      <c r="M32" s="21"/>
      <c r="N32" s="19"/>
      <c r="O32" s="50" t="s">
        <v>169</v>
      </c>
      <c r="P32" s="38" t="s">
        <v>22</v>
      </c>
      <c r="Q32" s="21"/>
      <c r="R32" s="21"/>
      <c r="S32" s="22"/>
      <c r="T32" s="50" t="s">
        <v>68</v>
      </c>
      <c r="U32" s="38" t="s">
        <v>70</v>
      </c>
      <c r="V32" s="43"/>
      <c r="W32" s="184"/>
      <c r="X32" s="22"/>
      <c r="Y32" s="183"/>
      <c r="Z32" s="62" t="s">
        <v>261</v>
      </c>
      <c r="AA32" s="63">
        <v>0.3</v>
      </c>
      <c r="AB32" s="64">
        <v>3.0</v>
      </c>
      <c r="AC32" s="22"/>
      <c r="AD32" s="83" t="s">
        <v>465</v>
      </c>
      <c r="AE32" s="84" t="s">
        <v>466</v>
      </c>
      <c r="AF32" s="185">
        <v>5.0E-6</v>
      </c>
      <c r="AG32" s="110"/>
      <c r="AH32" s="154" t="s">
        <v>467</v>
      </c>
      <c r="AI32" s="165">
        <f>SUM('Simple Inputs'!$P$48:$P$55)</f>
        <v>0</v>
      </c>
      <c r="AJ32" s="167" t="s">
        <v>468</v>
      </c>
      <c r="AK32" s="21"/>
      <c r="AL32" s="21"/>
      <c r="AM32" s="21"/>
      <c r="AN32" s="21"/>
      <c r="AO32" s="29"/>
    </row>
    <row r="33">
      <c r="A33" s="21"/>
      <c r="B33" s="21"/>
      <c r="C33" s="35"/>
      <c r="D33" s="19"/>
      <c r="E33" s="164" t="s">
        <v>469</v>
      </c>
      <c r="F33" s="186">
        <f>IFERROR(F32/$K$4,0)</f>
        <v>0.3236280904</v>
      </c>
      <c r="G33" s="186">
        <f t="shared" ref="G33:G35" si="40">F33</f>
        <v>0.3236280904</v>
      </c>
      <c r="H33" s="166" t="s">
        <v>463</v>
      </c>
      <c r="I33" s="167" t="s">
        <v>464</v>
      </c>
      <c r="J33" s="21"/>
      <c r="K33" s="21"/>
      <c r="L33" s="21"/>
      <c r="M33" s="21"/>
      <c r="N33" s="19"/>
      <c r="O33" s="62" t="s">
        <v>187</v>
      </c>
      <c r="P33" s="96">
        <f>'Simple Inputs'!$E$10</f>
        <v>0.029</v>
      </c>
      <c r="Q33" s="21"/>
      <c r="R33" s="21"/>
      <c r="S33" s="22"/>
      <c r="T33" s="57">
        <f>'Simple Inputs'!$E$27</f>
        <v>3</v>
      </c>
      <c r="U33" s="87">
        <f>'Simple Inputs'!$F$27</f>
        <v>1.99</v>
      </c>
      <c r="V33" s="109"/>
      <c r="W33" s="22"/>
      <c r="X33" s="22"/>
      <c r="Y33" s="183"/>
      <c r="Z33" s="62" t="s">
        <v>135</v>
      </c>
      <c r="AA33" s="63" t="s">
        <v>84</v>
      </c>
      <c r="AB33" s="64">
        <v>2.7</v>
      </c>
      <c r="AC33" s="22"/>
      <c r="AD33" s="187" t="s">
        <v>470</v>
      </c>
      <c r="AE33" s="188" t="s">
        <v>471</v>
      </c>
      <c r="AF33" s="21"/>
      <c r="AG33" s="110"/>
      <c r="AH33" s="154" t="s">
        <v>472</v>
      </c>
      <c r="AI33" s="165">
        <f>SUM('Simple Inputs'!$P$56:$P$62)</f>
        <v>20</v>
      </c>
      <c r="AJ33" s="167" t="s">
        <v>468</v>
      </c>
      <c r="AO33" s="29"/>
    </row>
    <row r="34">
      <c r="A34" s="21"/>
      <c r="B34" s="21"/>
      <c r="C34" s="35"/>
      <c r="D34" s="19"/>
      <c r="E34" s="164" t="s">
        <v>473</v>
      </c>
      <c r="F34" s="186">
        <f>IFERROR(-(F29+F30)/$K$4,0)</f>
        <v>0.1268291537</v>
      </c>
      <c r="G34" s="186">
        <f t="shared" si="40"/>
        <v>0.1268291537</v>
      </c>
      <c r="H34" s="166" t="s">
        <v>463</v>
      </c>
      <c r="I34" s="167" t="s">
        <v>437</v>
      </c>
      <c r="J34" s="21"/>
      <c r="K34" s="21"/>
      <c r="L34" s="21"/>
      <c r="M34" s="21"/>
      <c r="N34" s="92"/>
      <c r="O34" s="101" t="s">
        <v>211</v>
      </c>
      <c r="P34" s="104">
        <f>'Simple Inputs'!$E$11</f>
        <v>0.3</v>
      </c>
      <c r="Q34" s="21"/>
      <c r="R34" s="21"/>
      <c r="S34" s="22"/>
      <c r="T34" s="57">
        <f>'Simple Inputs'!$E$28</f>
        <v>10</v>
      </c>
      <c r="U34" s="87">
        <f>'Simple Inputs'!$F$28</f>
        <v>4.99</v>
      </c>
      <c r="V34" s="109"/>
      <c r="W34" s="22"/>
      <c r="X34" s="22"/>
      <c r="Y34" s="183"/>
      <c r="Z34" s="189" t="s">
        <v>151</v>
      </c>
      <c r="AA34" s="63" t="s">
        <v>84</v>
      </c>
      <c r="AB34" s="64" t="s">
        <v>84</v>
      </c>
      <c r="AC34" s="22"/>
      <c r="AD34" s="184"/>
      <c r="AE34" s="184"/>
      <c r="AF34" s="175"/>
      <c r="AG34" s="110"/>
      <c r="AH34" s="154" t="s">
        <v>474</v>
      </c>
      <c r="AI34" s="165">
        <f>'Simple Inputs'!$P$63</f>
        <v>1.14</v>
      </c>
      <c r="AJ34" s="167" t="s">
        <v>475</v>
      </c>
      <c r="AO34" s="29"/>
    </row>
    <row r="35">
      <c r="A35" s="21"/>
      <c r="B35" s="21"/>
      <c r="C35" s="35"/>
      <c r="D35" s="19"/>
      <c r="E35" s="164" t="s">
        <v>476</v>
      </c>
      <c r="F35" s="186">
        <f>IFERROR(-F31/$K$4,0)</f>
        <v>0.0012595</v>
      </c>
      <c r="G35" s="186">
        <f t="shared" si="40"/>
        <v>0.0012595</v>
      </c>
      <c r="H35" s="166" t="s">
        <v>463</v>
      </c>
      <c r="I35" s="167" t="s">
        <v>464</v>
      </c>
      <c r="J35" s="21"/>
      <c r="K35" s="21"/>
      <c r="L35" s="21"/>
      <c r="M35" s="21"/>
      <c r="N35" s="19"/>
      <c r="O35" s="21"/>
      <c r="P35" s="21"/>
      <c r="Q35" s="21"/>
      <c r="R35" s="21"/>
      <c r="S35" s="22"/>
      <c r="T35" s="57">
        <f>'Simple Inputs'!$E$29</f>
        <v>25</v>
      </c>
      <c r="U35" s="87">
        <f>'Simple Inputs'!$F$29</f>
        <v>9.99</v>
      </c>
      <c r="V35" s="109"/>
      <c r="W35" s="22"/>
      <c r="X35" s="22"/>
      <c r="Y35" s="183"/>
      <c r="Z35" s="190" t="s">
        <v>477</v>
      </c>
      <c r="AA35" s="43">
        <f t="shared" ref="AA35:AB35" si="41">SUM(AA30:AA34)</f>
        <v>0.9</v>
      </c>
      <c r="AB35" s="191">
        <f t="shared" si="41"/>
        <v>13.2</v>
      </c>
      <c r="AC35" s="22"/>
      <c r="AD35" s="175"/>
      <c r="AE35" s="175"/>
      <c r="AF35" s="175"/>
      <c r="AG35" s="110"/>
      <c r="AH35" s="154" t="s">
        <v>478</v>
      </c>
      <c r="AI35" s="165">
        <f>SUM('Simple Inputs'!$P$64:$P$65)</f>
        <v>40</v>
      </c>
      <c r="AJ35" s="167" t="s">
        <v>479</v>
      </c>
      <c r="AO35" s="124"/>
    </row>
    <row r="36">
      <c r="A36" s="21"/>
      <c r="B36" s="21"/>
      <c r="C36" s="35"/>
      <c r="D36" s="19"/>
      <c r="E36" s="192" t="s">
        <v>480</v>
      </c>
      <c r="F36" s="193">
        <f>SUM(F26:F31)</f>
        <v>135076.7411</v>
      </c>
      <c r="G36" s="193">
        <f>F36*12</f>
        <v>1620920.894</v>
      </c>
      <c r="H36" s="194" t="s">
        <v>260</v>
      </c>
      <c r="I36" s="195" t="s">
        <v>464</v>
      </c>
      <c r="J36" s="21"/>
      <c r="K36" s="21"/>
      <c r="L36" s="21"/>
      <c r="M36" s="21"/>
      <c r="N36" s="19"/>
      <c r="O36" s="21"/>
      <c r="P36" s="21"/>
      <c r="Q36" s="21"/>
      <c r="R36" s="21"/>
      <c r="S36" s="22"/>
      <c r="T36" s="77">
        <f>'Simple Inputs'!$E$30</f>
        <v>50</v>
      </c>
      <c r="U36" s="104">
        <f>'Simple Inputs'!$F$30</f>
        <v>17.99</v>
      </c>
      <c r="V36" s="109"/>
      <c r="W36" s="22"/>
      <c r="X36" s="22"/>
      <c r="Y36" s="183"/>
      <c r="Z36" s="190" t="s">
        <v>481</v>
      </c>
      <c r="AA36" s="43">
        <f>(AA30*U6)+(AA31*U7)+(AA32*U8)</f>
        <v>2.7</v>
      </c>
      <c r="AB36" s="191">
        <f>(AB30*V6)+(AB31*V7)+(AB32*V8)+(AB33*V9)</f>
        <v>45</v>
      </c>
      <c r="AC36" s="21"/>
      <c r="AD36" s="21"/>
      <c r="AE36" s="21"/>
      <c r="AF36" s="21"/>
      <c r="AG36" s="182"/>
      <c r="AH36" s="154" t="s">
        <v>482</v>
      </c>
      <c r="AI36" s="165">
        <f>SUM('Simple Inputs'!$P$66:$P$67,'Simple Inputs'!$P$71)</f>
        <v>0</v>
      </c>
      <c r="AJ36" s="167" t="s">
        <v>483</v>
      </c>
      <c r="AO36" s="124"/>
    </row>
    <row r="37">
      <c r="A37" s="21"/>
      <c r="B37" s="21"/>
      <c r="C37" s="35"/>
      <c r="D37" s="19"/>
      <c r="E37" s="164" t="s">
        <v>484</v>
      </c>
      <c r="F37" s="165">
        <f>IFERROR(F36/F26,0)</f>
        <v>0.7766954216</v>
      </c>
      <c r="G37" s="165">
        <f>F37</f>
        <v>0.7766954216</v>
      </c>
      <c r="H37" s="166" t="s">
        <v>463</v>
      </c>
      <c r="I37" s="167" t="s">
        <v>464</v>
      </c>
      <c r="J37" s="21"/>
      <c r="K37" s="21"/>
      <c r="L37" s="21"/>
      <c r="M37" s="21"/>
      <c r="N37" s="19"/>
      <c r="O37" s="21"/>
      <c r="P37" s="21"/>
      <c r="Q37" s="21"/>
      <c r="R37" s="21"/>
      <c r="S37" s="175"/>
      <c r="T37" s="22"/>
      <c r="U37" s="22"/>
      <c r="V37" s="22"/>
      <c r="W37" s="22"/>
      <c r="X37" s="22"/>
      <c r="Y37" s="183"/>
      <c r="Z37" s="196" t="s">
        <v>485</v>
      </c>
      <c r="AA37" s="75">
        <f>$G$13/AA36</f>
        <v>-0.008333333333</v>
      </c>
      <c r="AB37" s="197">
        <f>$G$14/AB36</f>
        <v>-0.02537533333</v>
      </c>
      <c r="AC37" s="21"/>
      <c r="AD37" s="21"/>
      <c r="AE37" s="21"/>
      <c r="AF37" s="21"/>
      <c r="AG37" s="21"/>
      <c r="AH37" s="168" t="s">
        <v>486</v>
      </c>
      <c r="AI37" s="198">
        <f>SUM(AI30:AI36)</f>
        <v>151.14</v>
      </c>
      <c r="AJ37" s="199" t="s">
        <v>487</v>
      </c>
      <c r="AO37" s="124"/>
    </row>
    <row r="38">
      <c r="A38" s="21"/>
      <c r="B38" s="21"/>
      <c r="C38" s="35"/>
      <c r="D38" s="19"/>
      <c r="E38" s="164" t="s">
        <v>488</v>
      </c>
      <c r="F38" s="165">
        <f>F36/'Simple Inputs'!$E$16</f>
        <v>67538.37057</v>
      </c>
      <c r="G38" s="165">
        <f t="shared" ref="G38:G40" si="42">F38*12</f>
        <v>810460.4469</v>
      </c>
      <c r="H38" s="166" t="s">
        <v>489</v>
      </c>
      <c r="I38" s="167" t="s">
        <v>464</v>
      </c>
      <c r="J38" s="21"/>
      <c r="K38" s="21"/>
      <c r="L38" s="21"/>
      <c r="M38" s="21"/>
      <c r="N38" s="19"/>
      <c r="O38" s="151" t="s">
        <v>490</v>
      </c>
      <c r="P38" s="144"/>
      <c r="Q38" s="144"/>
      <c r="R38" s="144"/>
      <c r="S38" s="200"/>
      <c r="T38" s="201"/>
      <c r="U38" s="22"/>
      <c r="V38" s="22"/>
      <c r="W38" s="22"/>
      <c r="X38" s="22"/>
      <c r="Y38" s="202"/>
      <c r="Z38" s="203"/>
      <c r="AA38" s="204"/>
      <c r="AB38" s="204"/>
      <c r="AC38" s="204"/>
      <c r="AD38" s="204"/>
      <c r="AE38" s="204"/>
      <c r="AF38" s="204"/>
      <c r="AG38" s="204"/>
      <c r="AH38" s="204"/>
      <c r="AI38" s="204"/>
      <c r="AJ38" s="204"/>
      <c r="AK38" s="204"/>
      <c r="AL38" s="204"/>
      <c r="AM38" s="204"/>
      <c r="AN38" s="204"/>
      <c r="AO38" s="205"/>
    </row>
    <row r="39">
      <c r="A39" s="21"/>
      <c r="B39" s="21"/>
      <c r="C39" s="35"/>
      <c r="D39" s="19"/>
      <c r="E39" s="164" t="s">
        <v>491</v>
      </c>
      <c r="F39" s="165">
        <f>-MAX(0,F38)*'Simple Inputs'!$E$15</f>
        <v>-22963.04599</v>
      </c>
      <c r="G39" s="165">
        <f t="shared" si="42"/>
        <v>-275556.5519</v>
      </c>
      <c r="H39" s="166" t="s">
        <v>489</v>
      </c>
      <c r="I39" s="167" t="s">
        <v>492</v>
      </c>
      <c r="J39" s="21"/>
      <c r="K39" s="21"/>
      <c r="L39" s="21"/>
      <c r="M39" s="21"/>
      <c r="N39" s="19"/>
      <c r="O39" s="161" t="s">
        <v>426</v>
      </c>
      <c r="P39" s="162" t="s">
        <v>493</v>
      </c>
      <c r="Q39" s="162" t="s">
        <v>494</v>
      </c>
      <c r="R39" s="162" t="s">
        <v>495</v>
      </c>
      <c r="S39" s="149" t="s">
        <v>215</v>
      </c>
      <c r="T39" s="150" t="s">
        <v>496</v>
      </c>
      <c r="U39" s="22"/>
      <c r="V39" s="22"/>
      <c r="W39" s="22"/>
      <c r="X39" s="206"/>
      <c r="Y39" s="22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35"/>
    </row>
    <row r="40">
      <c r="A40" s="21"/>
      <c r="B40" s="21"/>
      <c r="C40" s="35"/>
      <c r="D40" s="19"/>
      <c r="E40" s="207" t="s">
        <v>497</v>
      </c>
      <c r="F40" s="208">
        <f>SUM(F38:F39)</f>
        <v>44575.32458</v>
      </c>
      <c r="G40" s="208">
        <f t="shared" si="42"/>
        <v>534903.8949</v>
      </c>
      <c r="H40" s="209" t="s">
        <v>489</v>
      </c>
      <c r="I40" s="210" t="s">
        <v>464</v>
      </c>
      <c r="J40" s="21"/>
      <c r="K40" s="21"/>
      <c r="L40" s="21"/>
      <c r="M40" s="144"/>
      <c r="N40" s="19"/>
      <c r="O40" s="164" t="s">
        <v>498</v>
      </c>
      <c r="P40" s="165">
        <f>$H$19</f>
        <v>138638.4</v>
      </c>
      <c r="Q40" s="165">
        <f>$H$20</f>
        <v>20398.8</v>
      </c>
      <c r="R40" s="165">
        <f>$H$21</f>
        <v>14874.912</v>
      </c>
      <c r="S40" s="211">
        <f t="shared" ref="S40:S52" si="43">SUM(P40:R40)</f>
        <v>173912.112</v>
      </c>
      <c r="T40" s="212" t="s">
        <v>499</v>
      </c>
      <c r="U40" s="201"/>
      <c r="V40" s="201"/>
      <c r="W40" s="201"/>
      <c r="X40" s="206"/>
      <c r="Y40" s="22"/>
      <c r="AC40" s="21"/>
      <c r="AD40" s="21"/>
      <c r="AE40" s="21"/>
      <c r="AF40" s="166"/>
      <c r="AG40" s="166"/>
      <c r="AH40" s="166"/>
      <c r="AI40" s="166"/>
      <c r="AJ40" s="166"/>
      <c r="AK40" s="166"/>
      <c r="AL40" s="166"/>
      <c r="AM40" s="166"/>
      <c r="AN40" s="166"/>
      <c r="AO40" s="35"/>
    </row>
    <row r="41">
      <c r="A41" s="21"/>
      <c r="B41" s="21"/>
      <c r="C41" s="35"/>
      <c r="D41" s="213"/>
      <c r="E41" s="204"/>
      <c r="F41" s="214"/>
      <c r="G41" s="214"/>
      <c r="H41" s="204"/>
      <c r="I41" s="204"/>
      <c r="J41" s="215"/>
      <c r="K41" s="215"/>
      <c r="L41" s="215"/>
      <c r="M41" s="215"/>
      <c r="N41" s="19"/>
      <c r="O41" s="164" t="s">
        <v>500</v>
      </c>
      <c r="P41" s="165">
        <f>-P40*'Simple Inputs'!$E$6</f>
        <v>-6931.92</v>
      </c>
      <c r="Q41" s="165">
        <f>-Q40*'Simple Inputs'!$E$6</f>
        <v>-1019.94</v>
      </c>
      <c r="R41" s="165">
        <f>-R40*'Simple Inputs'!$E$6</f>
        <v>-743.7456</v>
      </c>
      <c r="S41" s="211">
        <f t="shared" si="43"/>
        <v>-8695.6056</v>
      </c>
      <c r="T41" s="212" t="s">
        <v>501</v>
      </c>
      <c r="U41" s="21"/>
      <c r="V41" s="21"/>
      <c r="W41" s="21"/>
      <c r="X41" s="206"/>
      <c r="Y41" s="22"/>
      <c r="AC41" s="21"/>
      <c r="AD41" s="21"/>
      <c r="AE41" s="21"/>
      <c r="AF41" s="166"/>
      <c r="AG41" s="166"/>
      <c r="AH41" s="166"/>
      <c r="AI41" s="166"/>
      <c r="AJ41" s="166"/>
      <c r="AK41" s="166"/>
      <c r="AL41" s="166"/>
      <c r="AM41" s="166"/>
      <c r="AN41" s="166"/>
      <c r="AO41" s="35"/>
    </row>
    <row r="42">
      <c r="A42" s="21"/>
      <c r="B42" s="21"/>
      <c r="E42" s="21"/>
      <c r="F42" s="21"/>
      <c r="G42" s="21"/>
      <c r="H42" s="21"/>
      <c r="I42" s="21"/>
      <c r="J42" s="21"/>
      <c r="K42" s="21"/>
      <c r="L42" s="21"/>
      <c r="M42" s="21"/>
      <c r="N42" s="19"/>
      <c r="O42" s="164" t="s">
        <v>502</v>
      </c>
      <c r="P42" s="165">
        <f t="shared" ref="P42:R42" si="44">SUM(P40:P41)</f>
        <v>131706.48</v>
      </c>
      <c r="Q42" s="165">
        <f t="shared" si="44"/>
        <v>19378.86</v>
      </c>
      <c r="R42" s="165">
        <f t="shared" si="44"/>
        <v>14131.1664</v>
      </c>
      <c r="S42" s="211">
        <f t="shared" si="43"/>
        <v>165216.5064</v>
      </c>
      <c r="T42" s="212" t="s">
        <v>503</v>
      </c>
      <c r="U42" s="21"/>
      <c r="V42" s="21"/>
      <c r="W42" s="21"/>
      <c r="X42" s="206"/>
      <c r="Y42" s="22"/>
      <c r="AC42" s="21"/>
      <c r="AD42" s="21"/>
      <c r="AE42" s="21"/>
      <c r="AF42" s="166"/>
      <c r="AG42" s="166"/>
      <c r="AH42" s="166"/>
      <c r="AI42" s="166"/>
      <c r="AJ42" s="166"/>
      <c r="AK42" s="166"/>
      <c r="AL42" s="166"/>
      <c r="AM42" s="166"/>
      <c r="AN42" s="166"/>
      <c r="AO42" s="35"/>
    </row>
    <row r="43">
      <c r="A43" s="21"/>
      <c r="B43" s="21"/>
      <c r="E43" s="21"/>
      <c r="F43" s="21"/>
      <c r="G43" s="21"/>
      <c r="H43" s="21"/>
      <c r="I43" s="21"/>
      <c r="J43" s="21"/>
      <c r="K43" s="21"/>
      <c r="L43" s="21"/>
      <c r="M43" s="21"/>
      <c r="N43" s="19"/>
      <c r="O43" s="164" t="s">
        <v>504</v>
      </c>
      <c r="P43" s="165">
        <f>-P42*'Simple Inputs'!$E$7</f>
        <v>-3951.1944</v>
      </c>
      <c r="Q43" s="165">
        <f>-Q42*'Simple Inputs'!$E$7</f>
        <v>-581.3658</v>
      </c>
      <c r="R43" s="165">
        <f>-R42*'Simple Inputs'!$E$7</f>
        <v>-423.934992</v>
      </c>
      <c r="S43" s="211">
        <f t="shared" si="43"/>
        <v>-4956.495192</v>
      </c>
      <c r="T43" s="212" t="s">
        <v>505</v>
      </c>
      <c r="U43" s="21"/>
      <c r="V43" s="21"/>
      <c r="W43" s="21"/>
      <c r="X43" s="206"/>
      <c r="Y43" s="22"/>
      <c r="AC43" s="21"/>
      <c r="AD43" s="21"/>
      <c r="AE43" s="21"/>
      <c r="AF43" s="166"/>
      <c r="AG43" s="166"/>
      <c r="AH43" s="166"/>
      <c r="AI43" s="166"/>
      <c r="AJ43" s="166"/>
      <c r="AK43" s="166"/>
      <c r="AL43" s="166"/>
      <c r="AM43" s="166"/>
      <c r="AN43" s="166"/>
      <c r="AO43" s="35"/>
    </row>
    <row r="44">
      <c r="A44" s="21"/>
      <c r="B44" s="21"/>
      <c r="E44" s="21"/>
      <c r="F44" s="21"/>
      <c r="G44" s="21"/>
      <c r="H44" s="21"/>
      <c r="I44" s="21"/>
      <c r="J44" s="21"/>
      <c r="K44" s="21"/>
      <c r="L44" s="21"/>
      <c r="M44" s="21"/>
      <c r="N44" s="19"/>
      <c r="O44" s="164" t="s">
        <v>506</v>
      </c>
      <c r="P44" s="165">
        <f t="shared" ref="P44:R44" si="45">SUM(P42:P43)</f>
        <v>127755.2856</v>
      </c>
      <c r="Q44" s="165">
        <f t="shared" si="45"/>
        <v>18797.4942</v>
      </c>
      <c r="R44" s="165">
        <f t="shared" si="45"/>
        <v>13707.23141</v>
      </c>
      <c r="S44" s="211">
        <f t="shared" si="43"/>
        <v>160260.0112</v>
      </c>
      <c r="T44" s="212" t="s">
        <v>507</v>
      </c>
      <c r="U44" s="21"/>
      <c r="V44" s="21"/>
      <c r="W44" s="21"/>
      <c r="X44" s="206"/>
      <c r="Y44" s="22"/>
      <c r="AC44" s="21"/>
      <c r="AD44" s="21"/>
      <c r="AE44" s="21"/>
      <c r="AF44" s="166"/>
      <c r="AG44" s="166"/>
      <c r="AH44" s="166"/>
      <c r="AI44" s="166"/>
      <c r="AJ44" s="166"/>
      <c r="AK44" s="166"/>
      <c r="AL44" s="166"/>
      <c r="AM44" s="166"/>
      <c r="AN44" s="166"/>
      <c r="AO44" s="35"/>
    </row>
    <row r="45">
      <c r="A45" s="21"/>
      <c r="B45" s="21"/>
      <c r="E45" s="21"/>
      <c r="F45" s="21"/>
      <c r="G45" s="21"/>
      <c r="H45" s="21"/>
      <c r="I45" s="21"/>
      <c r="J45" s="21"/>
      <c r="K45" s="21"/>
      <c r="L45" s="21"/>
      <c r="M45" s="21"/>
      <c r="N45" s="19"/>
      <c r="O45" s="164" t="s">
        <v>508</v>
      </c>
      <c r="P45" s="165">
        <f>-P44*'Simple Inputs'!$E$8</f>
        <v>-638.776428</v>
      </c>
      <c r="Q45" s="165">
        <f>-Q44*'Simple Inputs'!$E$8</f>
        <v>-93.987471</v>
      </c>
      <c r="R45" s="165">
        <f>-R44*'Simple Inputs'!$E$8</f>
        <v>-68.53615704</v>
      </c>
      <c r="S45" s="211">
        <f t="shared" si="43"/>
        <v>-801.300056</v>
      </c>
      <c r="T45" s="212" t="s">
        <v>509</v>
      </c>
      <c r="U45" s="21"/>
      <c r="V45" s="21"/>
      <c r="W45" s="21"/>
      <c r="X45" s="206"/>
      <c r="Y45" s="22"/>
      <c r="AC45" s="21"/>
      <c r="AD45" s="21"/>
      <c r="AE45" s="21"/>
      <c r="AF45" s="166"/>
      <c r="AG45" s="166"/>
      <c r="AH45" s="166"/>
      <c r="AI45" s="166"/>
      <c r="AJ45" s="166"/>
      <c r="AK45" s="166"/>
      <c r="AL45" s="166"/>
      <c r="AM45" s="166"/>
      <c r="AN45" s="166"/>
      <c r="AO45" s="35"/>
    </row>
    <row r="46">
      <c r="A46" s="21"/>
      <c r="B46" s="21"/>
      <c r="E46" s="21"/>
      <c r="F46" s="21"/>
      <c r="G46" s="21"/>
      <c r="H46" s="21"/>
      <c r="I46" s="21"/>
      <c r="J46" s="21"/>
      <c r="K46" s="21"/>
      <c r="L46" s="21"/>
      <c r="M46" s="21"/>
      <c r="N46" s="19"/>
      <c r="O46" s="164" t="s">
        <v>510</v>
      </c>
      <c r="P46" s="165">
        <f t="shared" ref="P46:R46" si="46">SUM(P44:P45)</f>
        <v>127116.5092</v>
      </c>
      <c r="Q46" s="165">
        <f t="shared" si="46"/>
        <v>18703.50673</v>
      </c>
      <c r="R46" s="165">
        <f t="shared" si="46"/>
        <v>13638.69525</v>
      </c>
      <c r="S46" s="211">
        <f t="shared" si="43"/>
        <v>159458.7112</v>
      </c>
      <c r="T46" s="212" t="s">
        <v>511</v>
      </c>
      <c r="U46" s="21"/>
      <c r="V46" s="21"/>
      <c r="W46" s="21"/>
      <c r="X46" s="206"/>
      <c r="Y46" s="22"/>
      <c r="AC46" s="21"/>
      <c r="AD46" s="21"/>
      <c r="AE46" s="21"/>
      <c r="AF46" s="166"/>
      <c r="AG46" s="166"/>
      <c r="AH46" s="166"/>
      <c r="AI46" s="166"/>
      <c r="AJ46" s="166"/>
      <c r="AK46" s="166"/>
      <c r="AL46" s="166"/>
      <c r="AM46" s="166"/>
      <c r="AN46" s="166"/>
      <c r="AO46" s="35"/>
    </row>
    <row r="47">
      <c r="A47" s="21"/>
      <c r="B47" s="21"/>
      <c r="E47" s="21"/>
      <c r="F47" s="21"/>
      <c r="G47" s="21"/>
      <c r="H47" s="21"/>
      <c r="I47" s="21"/>
      <c r="J47" s="21"/>
      <c r="K47" s="21"/>
      <c r="L47" s="21"/>
      <c r="M47" s="21"/>
      <c r="N47" s="19"/>
      <c r="O47" s="164" t="s">
        <v>512</v>
      </c>
      <c r="P47" s="165">
        <f>-P46*'Simple Inputs'!$E$10</f>
        <v>-3686.378766</v>
      </c>
      <c r="Q47" s="165">
        <f>-Q46*'Simple Inputs'!$E$10</f>
        <v>-542.4016951</v>
      </c>
      <c r="R47" s="165">
        <f>-R46*'Simple Inputs'!$E$10</f>
        <v>-395.5221623</v>
      </c>
      <c r="S47" s="211">
        <f t="shared" si="43"/>
        <v>-4624.302623</v>
      </c>
      <c r="T47" s="212" t="s">
        <v>513</v>
      </c>
      <c r="U47" s="21"/>
      <c r="V47" s="21"/>
      <c r="W47" s="21"/>
      <c r="X47" s="206"/>
      <c r="Y47" s="22"/>
      <c r="AC47" s="21"/>
      <c r="AD47" s="21"/>
      <c r="AE47" s="21"/>
      <c r="AF47" s="166"/>
      <c r="AG47" s="166"/>
      <c r="AH47" s="166"/>
      <c r="AI47" s="166"/>
      <c r="AJ47" s="166"/>
      <c r="AK47" s="166"/>
      <c r="AL47" s="166"/>
      <c r="AM47" s="166"/>
      <c r="AN47" s="166"/>
      <c r="AO47" s="35"/>
    </row>
    <row r="48">
      <c r="A48" s="21"/>
      <c r="B48" s="21"/>
      <c r="E48" s="21"/>
      <c r="F48" s="21"/>
      <c r="G48" s="21"/>
      <c r="H48" s="21"/>
      <c r="I48" s="21"/>
      <c r="J48" s="21"/>
      <c r="K48" s="21"/>
      <c r="L48" s="216"/>
      <c r="M48" s="21"/>
      <c r="N48" s="19"/>
      <c r="O48" s="154" t="s">
        <v>514</v>
      </c>
      <c r="P48" s="211">
        <f>-$F$19*(1-'Simple Inputs'!$E$6)*'Simple Inputs'!$E$11</f>
        <v>-2325.6</v>
      </c>
      <c r="Q48" s="211">
        <f>-$F$20*(1-'Simple Inputs'!$E$6)*'Simple Inputs'!$E$11</f>
        <v>-34.2</v>
      </c>
      <c r="R48" s="211">
        <f>-$F$21*(1-'Simple Inputs'!$E$6)*'Simple Inputs'!$E$11</f>
        <v>-1171.008</v>
      </c>
      <c r="S48" s="211">
        <f t="shared" si="43"/>
        <v>-3530.808</v>
      </c>
      <c r="T48" s="212" t="s">
        <v>515</v>
      </c>
      <c r="U48" s="21"/>
      <c r="V48" s="21"/>
      <c r="W48" s="21"/>
      <c r="X48" s="206"/>
      <c r="Y48" s="22"/>
      <c r="AC48" s="21"/>
      <c r="AD48" s="21"/>
      <c r="AE48" s="21"/>
      <c r="AF48" s="166"/>
      <c r="AG48" s="166"/>
      <c r="AH48" s="166"/>
      <c r="AI48" s="166"/>
      <c r="AJ48" s="166"/>
      <c r="AK48" s="166"/>
      <c r="AL48" s="166"/>
      <c r="AM48" s="166"/>
      <c r="AN48" s="166"/>
      <c r="AO48" s="35"/>
    </row>
    <row r="49">
      <c r="A49" s="21"/>
      <c r="B49" s="21"/>
      <c r="E49" s="21"/>
      <c r="F49" s="21"/>
      <c r="G49" s="21"/>
      <c r="H49" s="21"/>
      <c r="I49" s="21"/>
      <c r="J49" s="21"/>
      <c r="K49" s="21"/>
      <c r="L49" s="21"/>
      <c r="M49" s="21"/>
      <c r="N49" s="19"/>
      <c r="O49" s="154" t="s">
        <v>516</v>
      </c>
      <c r="P49" s="211">
        <f>-$F$19*(1-'Simple Inputs'!$E$6)*(1-'Simple Inputs'!$E$7)*'Simple Inputs'!$E$8*'Simple Inputs'!$E$12</f>
        <v>-563.958</v>
      </c>
      <c r="Q49" s="211">
        <f>-$F$20*(1-'Simple Inputs'!$E$6)*(1-'Simple Inputs'!$E$7)*'Simple Inputs'!$E$8*'Simple Inputs'!$E$12</f>
        <v>-8.2935</v>
      </c>
      <c r="R49" s="211">
        <f>-$F$21*(1-'Simple Inputs'!$E$6)*(1-'Simple Inputs'!$E$7)*'Simple Inputs'!$E$8*'Simple Inputs'!$E$12</f>
        <v>-283.96944</v>
      </c>
      <c r="S49" s="211">
        <f t="shared" si="43"/>
        <v>-856.22094</v>
      </c>
      <c r="T49" s="212" t="s">
        <v>517</v>
      </c>
      <c r="U49" s="21"/>
      <c r="V49" s="21"/>
      <c r="W49" s="21"/>
      <c r="X49" s="206"/>
      <c r="Y49" s="22"/>
      <c r="Z49" s="21"/>
      <c r="AA49" s="21"/>
      <c r="AB49" s="21"/>
      <c r="AC49" s="21"/>
      <c r="AD49" s="21"/>
      <c r="AE49" s="21"/>
      <c r="AF49" s="166"/>
      <c r="AG49" s="166"/>
      <c r="AH49" s="166"/>
      <c r="AI49" s="166"/>
      <c r="AJ49" s="166"/>
      <c r="AK49" s="166"/>
      <c r="AL49" s="166"/>
      <c r="AM49" s="166"/>
      <c r="AN49" s="166"/>
      <c r="AO49" s="35"/>
    </row>
    <row r="50">
      <c r="A50" s="21"/>
      <c r="B50" s="21"/>
      <c r="E50" s="21"/>
      <c r="F50" s="21"/>
      <c r="G50" s="21"/>
      <c r="H50" s="21"/>
      <c r="I50" s="21"/>
      <c r="J50" s="21"/>
      <c r="K50" s="21"/>
      <c r="L50" s="21"/>
      <c r="M50" s="21"/>
      <c r="N50" s="19"/>
      <c r="O50" s="154" t="s">
        <v>518</v>
      </c>
      <c r="P50" s="211">
        <f>-P46*IF('Simple Inputs'!$F$45="Yes",'Simple Inputs'!$I$45,0)</f>
        <v>0</v>
      </c>
      <c r="Q50" s="211">
        <f>-Q46*IF('Simple Inputs'!$F$45="Yes",'Simple Inputs'!$I$45,0)</f>
        <v>0</v>
      </c>
      <c r="R50" s="211">
        <f>-R46*IF('Simple Inputs'!$F$45="Yes",'Simple Inputs'!$I$45,0)</f>
        <v>0</v>
      </c>
      <c r="S50" s="211">
        <f t="shared" si="43"/>
        <v>0</v>
      </c>
      <c r="T50" s="212" t="s">
        <v>519</v>
      </c>
      <c r="U50" s="21"/>
      <c r="V50" s="21"/>
      <c r="W50" s="21"/>
      <c r="X50" s="206"/>
      <c r="Y50" s="21"/>
    </row>
    <row r="51">
      <c r="A51" s="21"/>
      <c r="B51" s="21"/>
      <c r="E51" s="21"/>
      <c r="F51" s="21"/>
      <c r="G51" s="21"/>
      <c r="H51" s="21"/>
      <c r="I51" s="21"/>
      <c r="J51" s="21"/>
      <c r="K51" s="21"/>
      <c r="L51" s="21"/>
      <c r="M51" s="21"/>
      <c r="N51" s="19"/>
      <c r="O51" s="217" t="s">
        <v>520</v>
      </c>
      <c r="P51" s="218">
        <f t="shared" ref="P51:R51" si="47">SUM(P40,P41,P43,P45,P47:P50)</f>
        <v>120540.5724</v>
      </c>
      <c r="Q51" s="218">
        <f t="shared" si="47"/>
        <v>18118.61153</v>
      </c>
      <c r="R51" s="218">
        <f t="shared" si="47"/>
        <v>11788.19565</v>
      </c>
      <c r="S51" s="219">
        <f t="shared" si="43"/>
        <v>150447.3796</v>
      </c>
      <c r="T51" s="220" t="s">
        <v>521</v>
      </c>
      <c r="U51" s="21"/>
      <c r="V51" s="21"/>
      <c r="W51" s="21"/>
      <c r="X51" s="206"/>
      <c r="Y51" s="21"/>
    </row>
    <row r="52">
      <c r="A52" s="21"/>
      <c r="B52" s="21"/>
      <c r="E52" s="21"/>
      <c r="F52" s="21"/>
      <c r="G52" s="21"/>
      <c r="H52" s="21"/>
      <c r="I52" s="21"/>
      <c r="J52" s="21"/>
      <c r="K52" s="21"/>
      <c r="L52" s="21"/>
      <c r="M52" s="21"/>
      <c r="N52" s="19"/>
      <c r="O52" s="221" t="s">
        <v>522</v>
      </c>
      <c r="P52" s="222">
        <f t="shared" ref="P52:R52" si="48">P51-(P40+SUM(P41,P43,P45,P47:P50))</f>
        <v>0</v>
      </c>
      <c r="Q52" s="222">
        <f t="shared" si="48"/>
        <v>0</v>
      </c>
      <c r="R52" s="222">
        <f t="shared" si="48"/>
        <v>0</v>
      </c>
      <c r="S52" s="223">
        <f t="shared" si="43"/>
        <v>0</v>
      </c>
      <c r="T52" s="224" t="s">
        <v>523</v>
      </c>
      <c r="U52" s="21"/>
      <c r="V52" s="21"/>
      <c r="W52" s="21"/>
      <c r="X52" s="206"/>
      <c r="Y52" s="21"/>
    </row>
    <row r="53">
      <c r="A53" s="21"/>
      <c r="B53" s="21"/>
      <c r="E53" s="21"/>
      <c r="F53" s="21"/>
      <c r="G53" s="21"/>
      <c r="H53" s="21"/>
      <c r="I53" s="21"/>
      <c r="J53" s="21"/>
      <c r="K53" s="21"/>
      <c r="L53" s="21"/>
      <c r="M53" s="21"/>
      <c r="N53" s="19"/>
      <c r="U53" s="21"/>
      <c r="V53" s="21"/>
      <c r="W53" s="21"/>
      <c r="X53" s="206"/>
      <c r="Y53" s="21"/>
    </row>
    <row r="54">
      <c r="A54" s="21"/>
      <c r="B54" s="21"/>
      <c r="E54" s="21"/>
      <c r="F54" s="21"/>
      <c r="G54" s="21"/>
      <c r="H54" s="21"/>
      <c r="I54" s="21"/>
      <c r="J54" s="21"/>
      <c r="K54" s="21"/>
      <c r="L54" s="21"/>
      <c r="M54" s="21"/>
      <c r="N54" s="19"/>
      <c r="U54" s="21"/>
      <c r="V54" s="21"/>
      <c r="W54" s="21"/>
      <c r="X54" s="206"/>
      <c r="Y54" s="21"/>
    </row>
    <row r="55">
      <c r="A55" s="21"/>
      <c r="B55" s="21"/>
      <c r="E55" s="21"/>
      <c r="F55" s="21"/>
      <c r="G55" s="21"/>
      <c r="H55" s="21"/>
      <c r="I55" s="21"/>
      <c r="J55" s="21"/>
      <c r="K55" s="21"/>
      <c r="L55" s="21"/>
      <c r="M55" s="21"/>
      <c r="N55" s="213"/>
      <c r="O55" s="215"/>
      <c r="P55" s="215"/>
      <c r="Q55" s="215"/>
      <c r="R55" s="215"/>
      <c r="S55" s="215"/>
      <c r="T55" s="215"/>
      <c r="U55" s="215"/>
      <c r="V55" s="215"/>
      <c r="W55" s="215"/>
      <c r="X55" s="225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</row>
    <row r="56" ht="19.5" customHeight="1">
      <c r="A56" s="21"/>
      <c r="B56" s="21"/>
      <c r="E56" s="21"/>
      <c r="F56" s="21"/>
      <c r="G56" s="21"/>
      <c r="H56" s="21"/>
      <c r="I56" s="21"/>
      <c r="J56" s="21"/>
      <c r="K56" s="21"/>
      <c r="L56" s="21"/>
      <c r="M56" s="21"/>
      <c r="O56" s="21"/>
      <c r="P56" s="21"/>
      <c r="Q56" s="21"/>
      <c r="R56" s="21"/>
      <c r="S56" s="21"/>
      <c r="T56" s="21"/>
      <c r="U56" s="21"/>
      <c r="V56" s="21"/>
      <c r="W56" s="21"/>
      <c r="X56" s="22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</row>
    <row r="57" ht="19.5" customHeight="1">
      <c r="A57" s="21"/>
      <c r="B57" s="21"/>
      <c r="E57" s="21"/>
      <c r="F57" s="21"/>
      <c r="G57" s="21"/>
      <c r="H57" s="21"/>
      <c r="I57" s="21"/>
      <c r="J57" s="21"/>
      <c r="K57" s="21"/>
      <c r="L57" s="21"/>
      <c r="M57" s="21"/>
      <c r="O57" s="21"/>
      <c r="P57" s="21"/>
      <c r="Q57" s="21"/>
      <c r="R57" s="21"/>
      <c r="S57" s="21"/>
      <c r="T57" s="21"/>
      <c r="U57" s="21"/>
      <c r="V57" s="21"/>
      <c r="W57" s="21"/>
      <c r="X57" s="22"/>
      <c r="Y57" s="21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166"/>
      <c r="AN57" s="166"/>
      <c r="AO57" s="35"/>
    </row>
    <row r="58" ht="19.5" customHeight="1">
      <c r="A58" s="21"/>
      <c r="B58" s="21"/>
      <c r="E58" s="21"/>
      <c r="F58" s="21"/>
      <c r="G58" s="21"/>
      <c r="H58" s="21"/>
      <c r="I58" s="21"/>
      <c r="J58" s="21"/>
      <c r="K58" s="21"/>
      <c r="L58" s="21"/>
      <c r="M58" s="21"/>
      <c r="N58" s="35"/>
      <c r="O58" s="63"/>
      <c r="P58" s="63"/>
      <c r="Q58" s="63"/>
      <c r="R58" s="21"/>
      <c r="S58" s="21"/>
      <c r="T58" s="21"/>
      <c r="U58" s="21"/>
      <c r="V58" s="21"/>
      <c r="W58" s="21"/>
      <c r="X58" s="22"/>
      <c r="Y58" s="21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66"/>
      <c r="AN58" s="166"/>
      <c r="AO58" s="35"/>
    </row>
    <row r="59" ht="19.5" customHeight="1">
      <c r="A59" s="21"/>
      <c r="B59" s="21"/>
      <c r="E59" s="21"/>
      <c r="F59" s="21"/>
      <c r="G59" s="21"/>
      <c r="H59" s="21"/>
      <c r="I59" s="21"/>
      <c r="J59" s="21"/>
      <c r="K59" s="21"/>
      <c r="L59" s="21"/>
      <c r="M59" s="63"/>
      <c r="N59" s="35"/>
      <c r="O59" s="63"/>
      <c r="P59" s="63"/>
      <c r="Q59" s="63"/>
      <c r="R59" s="21"/>
      <c r="S59" s="21"/>
      <c r="T59" s="21"/>
      <c r="U59" s="21"/>
      <c r="V59" s="21"/>
      <c r="W59" s="21"/>
      <c r="X59" s="22"/>
      <c r="Y59" s="21"/>
      <c r="Z59" s="21"/>
      <c r="AA59" s="21"/>
      <c r="AB59" s="21"/>
      <c r="AC59" s="21"/>
      <c r="AD59" s="166"/>
      <c r="AE59" s="166"/>
      <c r="AF59" s="166"/>
      <c r="AG59" s="166"/>
      <c r="AH59" s="166"/>
      <c r="AI59" s="166"/>
      <c r="AJ59" s="166"/>
      <c r="AK59" s="166"/>
      <c r="AL59" s="166"/>
      <c r="AM59" s="166"/>
      <c r="AN59" s="166"/>
      <c r="AO59" s="35"/>
    </row>
    <row r="60" ht="19.5" customHeight="1">
      <c r="A60" s="21"/>
      <c r="B60" s="21"/>
      <c r="E60" s="21"/>
      <c r="F60" s="21"/>
      <c r="G60" s="21"/>
      <c r="H60" s="21"/>
      <c r="I60" s="21"/>
      <c r="J60" s="21"/>
      <c r="K60" s="21"/>
      <c r="L60" s="21"/>
      <c r="M60" s="63"/>
      <c r="N60" s="35"/>
      <c r="O60" s="63"/>
      <c r="P60" s="63"/>
      <c r="Q60" s="63"/>
      <c r="R60" s="21"/>
      <c r="S60" s="21"/>
      <c r="T60" s="21"/>
      <c r="U60" s="21"/>
      <c r="V60" s="21"/>
      <c r="W60" s="21"/>
      <c r="X60" s="22"/>
      <c r="Y60" s="21"/>
      <c r="Z60" s="21"/>
      <c r="AA60" s="21"/>
      <c r="AB60" s="21"/>
      <c r="AC60" s="21"/>
      <c r="AD60" s="166"/>
      <c r="AE60" s="166"/>
      <c r="AF60" s="166"/>
      <c r="AG60" s="166"/>
      <c r="AH60" s="166"/>
      <c r="AI60" s="166"/>
      <c r="AJ60" s="166"/>
      <c r="AK60" s="166"/>
      <c r="AL60" s="166"/>
      <c r="AM60" s="166"/>
      <c r="AN60" s="166"/>
      <c r="AO60" s="35"/>
    </row>
    <row r="61" ht="19.5" customHeight="1">
      <c r="A61" s="21"/>
      <c r="B61" s="21"/>
      <c r="E61" s="21"/>
      <c r="F61" s="21"/>
      <c r="G61" s="21"/>
      <c r="H61" s="21"/>
      <c r="I61" s="21"/>
      <c r="J61" s="21"/>
      <c r="K61" s="21"/>
      <c r="L61" s="21"/>
      <c r="M61" s="63"/>
      <c r="N61" s="35"/>
      <c r="O61" s="63"/>
      <c r="P61" s="63"/>
      <c r="Q61" s="63"/>
      <c r="R61" s="21"/>
      <c r="S61" s="21"/>
      <c r="T61" s="21"/>
      <c r="U61" s="21"/>
      <c r="V61" s="21"/>
      <c r="W61" s="21"/>
      <c r="X61" s="22"/>
      <c r="Y61" s="21"/>
      <c r="Z61" s="21"/>
      <c r="AA61" s="21"/>
      <c r="AB61" s="21"/>
      <c r="AC61" s="21"/>
      <c r="AD61" s="166"/>
      <c r="AE61" s="166"/>
      <c r="AF61" s="166"/>
      <c r="AG61" s="166"/>
      <c r="AH61" s="166"/>
      <c r="AI61" s="166"/>
      <c r="AJ61" s="166"/>
      <c r="AK61" s="166"/>
      <c r="AL61" s="166"/>
      <c r="AM61" s="166"/>
      <c r="AN61" s="166"/>
      <c r="AO61" s="35"/>
    </row>
    <row r="62" ht="19.5" customHeight="1">
      <c r="A62" s="21"/>
      <c r="B62" s="21"/>
      <c r="E62" s="21"/>
      <c r="F62" s="21"/>
      <c r="G62" s="21"/>
      <c r="H62" s="21"/>
      <c r="I62" s="21"/>
      <c r="J62" s="21"/>
      <c r="K62" s="21"/>
      <c r="L62" s="21"/>
      <c r="M62" s="21"/>
      <c r="O62" s="21"/>
      <c r="P62" s="21"/>
      <c r="Q62" s="21"/>
      <c r="R62" s="21"/>
      <c r="S62" s="21"/>
      <c r="T62" s="21"/>
      <c r="U62" s="21"/>
      <c r="V62" s="21"/>
      <c r="W62" s="21"/>
      <c r="X62" s="22"/>
      <c r="Y62" s="21"/>
      <c r="Z62" s="21"/>
      <c r="AA62" s="21"/>
      <c r="AB62" s="21"/>
      <c r="AC62" s="21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35"/>
    </row>
    <row r="63" ht="19.5" customHeight="1">
      <c r="A63" s="21"/>
      <c r="B63" s="21"/>
      <c r="C63" s="35"/>
      <c r="D63" s="35"/>
      <c r="E63" s="226"/>
      <c r="F63" s="226"/>
      <c r="G63" s="226"/>
      <c r="H63" s="226"/>
      <c r="I63" s="226"/>
      <c r="J63" s="226"/>
      <c r="K63" s="226"/>
      <c r="L63" s="226"/>
      <c r="M63" s="226"/>
      <c r="O63" s="21"/>
      <c r="P63" s="21"/>
      <c r="Q63" s="21"/>
      <c r="R63" s="21"/>
      <c r="S63" s="21"/>
      <c r="T63" s="21"/>
      <c r="U63" s="21"/>
      <c r="V63" s="21"/>
      <c r="W63" s="21"/>
      <c r="X63" s="22"/>
      <c r="Y63" s="21"/>
      <c r="Z63" s="21"/>
      <c r="AA63" s="21"/>
      <c r="AB63" s="21"/>
      <c r="AC63" s="21"/>
      <c r="AD63" s="166"/>
      <c r="AE63" s="166"/>
      <c r="AF63" s="166"/>
      <c r="AG63" s="166"/>
      <c r="AH63" s="166"/>
      <c r="AI63" s="166"/>
      <c r="AJ63" s="166"/>
      <c r="AK63" s="166"/>
      <c r="AL63" s="166"/>
      <c r="AM63" s="166"/>
      <c r="AN63" s="166"/>
      <c r="AO63" s="35"/>
    </row>
    <row r="64" ht="19.5" customHeight="1">
      <c r="A64" s="21"/>
      <c r="B64" s="21"/>
      <c r="C64" s="35"/>
      <c r="D64" s="35"/>
      <c r="E64" s="226"/>
      <c r="F64" s="227"/>
      <c r="G64" s="226"/>
      <c r="H64" s="226"/>
      <c r="I64" s="226"/>
      <c r="J64" s="226"/>
      <c r="K64" s="226"/>
      <c r="L64" s="226"/>
      <c r="M64" s="226"/>
      <c r="O64" s="21"/>
      <c r="P64" s="21"/>
      <c r="Q64" s="21"/>
      <c r="R64" s="21"/>
      <c r="S64" s="21"/>
      <c r="T64" s="21"/>
      <c r="U64" s="21"/>
      <c r="V64" s="21"/>
      <c r="W64" s="21"/>
      <c r="X64" s="22"/>
      <c r="Y64" s="21"/>
      <c r="Z64" s="21"/>
      <c r="AA64" s="21"/>
      <c r="AB64" s="21"/>
      <c r="AC64" s="21"/>
      <c r="AD64" s="166"/>
      <c r="AE64" s="166"/>
      <c r="AF64" s="166"/>
      <c r="AG64" s="166"/>
      <c r="AH64" s="166"/>
      <c r="AI64" s="166"/>
      <c r="AJ64" s="166"/>
      <c r="AK64" s="166"/>
      <c r="AL64" s="166"/>
      <c r="AM64" s="166"/>
      <c r="AN64" s="166"/>
      <c r="AO64" s="35"/>
    </row>
    <row r="65" ht="19.5" customHeight="1">
      <c r="A65" s="21"/>
      <c r="B65" s="21"/>
      <c r="C65" s="35"/>
      <c r="D65" s="35"/>
      <c r="E65" s="226"/>
      <c r="F65" s="228"/>
      <c r="G65" s="226"/>
      <c r="H65" s="226"/>
      <c r="I65" s="226"/>
      <c r="J65" s="226"/>
      <c r="K65" s="226"/>
      <c r="L65" s="226"/>
      <c r="M65" s="226"/>
      <c r="O65" s="21"/>
      <c r="P65" s="21"/>
      <c r="Q65" s="21"/>
      <c r="R65" s="21"/>
      <c r="S65" s="21"/>
      <c r="T65" s="21"/>
      <c r="U65" s="21"/>
      <c r="V65" s="21"/>
      <c r="W65" s="21"/>
      <c r="X65" s="22"/>
      <c r="Y65" s="21"/>
      <c r="Z65" s="21"/>
      <c r="AA65" s="21"/>
      <c r="AB65" s="21"/>
      <c r="AC65" s="21"/>
      <c r="AD65" s="166"/>
      <c r="AE65" s="166"/>
      <c r="AF65" s="166"/>
      <c r="AG65" s="166"/>
      <c r="AH65" s="166"/>
      <c r="AI65" s="166"/>
      <c r="AJ65" s="166"/>
      <c r="AK65" s="166"/>
      <c r="AL65" s="166"/>
      <c r="AM65" s="166"/>
      <c r="AN65" s="166"/>
      <c r="AO65" s="35"/>
    </row>
    <row r="66" ht="19.5" customHeight="1">
      <c r="A66" s="21"/>
      <c r="B66" s="21"/>
      <c r="C66" s="35"/>
      <c r="D66" s="35"/>
      <c r="E66" s="226"/>
      <c r="F66" s="227"/>
      <c r="G66" s="226"/>
      <c r="H66" s="226"/>
      <c r="I66" s="226"/>
      <c r="J66" s="226"/>
      <c r="K66" s="226"/>
      <c r="L66" s="226"/>
      <c r="M66" s="226"/>
      <c r="O66" s="21"/>
      <c r="P66" s="21"/>
      <c r="Q66" s="21"/>
      <c r="R66" s="21"/>
      <c r="S66" s="21"/>
      <c r="T66" s="21"/>
      <c r="U66" s="21"/>
      <c r="V66" s="21"/>
      <c r="W66" s="21"/>
      <c r="X66" s="22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</row>
    <row r="67" ht="19.5" customHeight="1">
      <c r="A67" s="21"/>
      <c r="B67" s="21"/>
      <c r="C67" s="35"/>
      <c r="D67" s="35"/>
      <c r="E67" s="226"/>
      <c r="F67" s="228"/>
      <c r="G67" s="226"/>
      <c r="H67" s="226"/>
      <c r="I67" s="226"/>
      <c r="J67" s="226"/>
      <c r="K67" s="226"/>
      <c r="L67" s="226"/>
      <c r="M67" s="226"/>
      <c r="O67" s="21"/>
      <c r="P67" s="21"/>
      <c r="Q67" s="21"/>
      <c r="R67" s="21"/>
      <c r="S67" s="21"/>
      <c r="T67" s="21"/>
      <c r="U67" s="21"/>
      <c r="V67" s="21"/>
      <c r="W67" s="21"/>
      <c r="X67" s="22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</row>
    <row r="68" ht="19.5" customHeight="1">
      <c r="A68" s="21"/>
      <c r="B68" s="21"/>
      <c r="C68" s="35"/>
      <c r="D68" s="35"/>
      <c r="E68" s="226"/>
      <c r="F68" s="226"/>
      <c r="G68" s="226"/>
      <c r="H68" s="226"/>
      <c r="I68" s="226"/>
      <c r="J68" s="226"/>
      <c r="K68" s="226"/>
      <c r="L68" s="226"/>
      <c r="M68" s="226"/>
      <c r="O68" s="21"/>
      <c r="P68" s="21"/>
      <c r="Q68" s="21"/>
      <c r="R68" s="21"/>
      <c r="S68" s="21"/>
      <c r="T68" s="21"/>
      <c r="U68" s="21"/>
      <c r="V68" s="21"/>
      <c r="W68" s="21"/>
      <c r="X68" s="22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</row>
    <row r="69" ht="19.5" customHeight="1">
      <c r="A69" s="21"/>
      <c r="B69" s="21"/>
      <c r="C69" s="35"/>
      <c r="D69" s="35"/>
      <c r="E69" s="226"/>
      <c r="F69" s="226"/>
      <c r="G69" s="226"/>
      <c r="H69" s="226"/>
      <c r="I69" s="226"/>
      <c r="J69" s="226"/>
      <c r="K69" s="226"/>
      <c r="L69" s="226"/>
      <c r="M69" s="226"/>
      <c r="O69" s="21"/>
      <c r="P69" s="21"/>
      <c r="Q69" s="21"/>
      <c r="R69" s="21"/>
      <c r="S69" s="21"/>
      <c r="T69" s="21"/>
      <c r="U69" s="21"/>
      <c r="V69" s="21"/>
      <c r="W69" s="21"/>
      <c r="X69" s="22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</row>
    <row r="70" ht="19.5" customHeight="1">
      <c r="A70" s="21"/>
      <c r="B70" s="21"/>
      <c r="C70" s="35"/>
      <c r="D70" s="35"/>
      <c r="E70" s="226"/>
      <c r="F70" s="226"/>
      <c r="G70" s="226"/>
      <c r="H70" s="226"/>
      <c r="I70" s="226"/>
      <c r="J70" s="226"/>
      <c r="K70" s="226"/>
      <c r="L70" s="226"/>
      <c r="M70" s="226"/>
      <c r="O70" s="21"/>
      <c r="P70" s="21"/>
      <c r="Q70" s="21"/>
      <c r="R70" s="21"/>
      <c r="S70" s="21"/>
      <c r="T70" s="21"/>
      <c r="U70" s="21"/>
      <c r="V70" s="21"/>
      <c r="W70" s="21"/>
      <c r="X70" s="22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</row>
    <row r="71" ht="19.5" customHeight="1">
      <c r="A71" s="21"/>
      <c r="B71" s="21"/>
      <c r="C71" s="35"/>
      <c r="D71" s="35"/>
      <c r="E71" s="226"/>
      <c r="F71" s="226"/>
      <c r="G71" s="226"/>
      <c r="H71" s="226"/>
      <c r="I71" s="226"/>
      <c r="J71" s="226"/>
      <c r="K71" s="226"/>
      <c r="L71" s="226"/>
      <c r="M71" s="226"/>
      <c r="O71" s="21"/>
      <c r="P71" s="21"/>
      <c r="Q71" s="21"/>
      <c r="R71" s="21"/>
      <c r="S71" s="21"/>
      <c r="T71" s="21"/>
      <c r="U71" s="21"/>
      <c r="V71" s="21"/>
      <c r="W71" s="21"/>
      <c r="X71" s="22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</row>
    <row r="72" ht="19.5" customHeight="1">
      <c r="A72" s="21"/>
      <c r="B72" s="21"/>
      <c r="C72" s="35"/>
      <c r="D72" s="35"/>
      <c r="E72" s="226"/>
      <c r="F72" s="226"/>
      <c r="G72" s="226"/>
      <c r="H72" s="226"/>
      <c r="I72" s="226"/>
      <c r="J72" s="226"/>
      <c r="K72" s="226"/>
      <c r="L72" s="226"/>
      <c r="M72" s="226"/>
      <c r="O72" s="21"/>
      <c r="P72" s="21"/>
      <c r="Q72" s="21"/>
      <c r="R72" s="21"/>
      <c r="S72" s="21"/>
      <c r="T72" s="21"/>
      <c r="U72" s="21"/>
      <c r="V72" s="21"/>
      <c r="W72" s="21"/>
      <c r="X72" s="22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</row>
    <row r="73" ht="19.5" customHeight="1">
      <c r="A73" s="21"/>
      <c r="B73" s="21"/>
      <c r="C73" s="35"/>
      <c r="D73" s="35"/>
      <c r="E73" s="226"/>
      <c r="F73" s="229"/>
      <c r="G73" s="228"/>
      <c r="H73" s="228"/>
      <c r="I73" s="228"/>
      <c r="J73" s="228"/>
      <c r="K73" s="228"/>
      <c r="L73" s="228"/>
      <c r="M73" s="226"/>
      <c r="O73" s="21"/>
      <c r="P73" s="21"/>
      <c r="Q73" s="21"/>
      <c r="R73" s="21"/>
      <c r="S73" s="21"/>
      <c r="T73" s="21"/>
      <c r="U73" s="21"/>
      <c r="V73" s="21"/>
      <c r="W73" s="21"/>
      <c r="X73" s="22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</row>
    <row r="74" ht="19.5" customHeight="1">
      <c r="A74" s="21"/>
      <c r="B74" s="21"/>
      <c r="C74" s="35"/>
      <c r="D74" s="35"/>
      <c r="E74" s="226"/>
      <c r="F74" s="226"/>
      <c r="G74" s="228"/>
      <c r="H74" s="228"/>
      <c r="I74" s="228"/>
      <c r="J74" s="228"/>
      <c r="K74" s="228"/>
      <c r="L74" s="228"/>
      <c r="M74" s="226"/>
      <c r="O74" s="21"/>
      <c r="P74" s="21"/>
      <c r="Q74" s="21"/>
      <c r="R74" s="21"/>
      <c r="S74" s="21"/>
      <c r="T74" s="21"/>
      <c r="U74" s="21"/>
      <c r="V74" s="21"/>
      <c r="W74" s="21"/>
      <c r="X74" s="22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</row>
    <row r="75" ht="19.5" customHeight="1">
      <c r="A75" s="21"/>
      <c r="B75" s="21"/>
      <c r="C75" s="35"/>
      <c r="D75" s="35"/>
      <c r="E75" s="226"/>
      <c r="F75" s="229"/>
      <c r="G75" s="228"/>
      <c r="H75" s="228"/>
      <c r="I75" s="228"/>
      <c r="J75" s="228"/>
      <c r="K75" s="228"/>
      <c r="L75" s="228"/>
      <c r="M75" s="226"/>
      <c r="O75" s="21"/>
      <c r="P75" s="21"/>
      <c r="Q75" s="21"/>
      <c r="R75" s="21"/>
      <c r="S75" s="21"/>
      <c r="T75" s="21"/>
      <c r="U75" s="21"/>
      <c r="V75" s="21"/>
      <c r="W75" s="21"/>
      <c r="X75" s="22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</row>
    <row r="76" ht="19.5" customHeight="1">
      <c r="A76" s="21"/>
      <c r="B76" s="21"/>
      <c r="C76" s="35"/>
      <c r="D76" s="35"/>
      <c r="E76" s="226"/>
      <c r="F76" s="229"/>
      <c r="G76" s="226"/>
      <c r="H76" s="228"/>
      <c r="I76" s="228"/>
      <c r="J76" s="228"/>
      <c r="K76" s="228"/>
      <c r="L76" s="228"/>
      <c r="M76" s="226"/>
      <c r="O76" s="21"/>
      <c r="P76" s="21"/>
      <c r="Q76" s="21"/>
      <c r="R76" s="21"/>
      <c r="S76" s="21"/>
      <c r="T76" s="21"/>
      <c r="U76" s="21"/>
      <c r="V76" s="21"/>
      <c r="W76" s="21"/>
      <c r="X76" s="22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</row>
    <row r="77" ht="19.5" customHeight="1">
      <c r="A77" s="21"/>
      <c r="B77" s="21"/>
      <c r="C77" s="35"/>
      <c r="D77" s="35"/>
      <c r="E77" s="63"/>
      <c r="F77" s="63"/>
      <c r="G77" s="63"/>
      <c r="H77" s="63"/>
      <c r="I77" s="63"/>
      <c r="J77" s="63"/>
      <c r="K77" s="63"/>
      <c r="L77" s="63"/>
      <c r="M77" s="63"/>
      <c r="O77" s="21"/>
      <c r="P77" s="21"/>
      <c r="Q77" s="21"/>
      <c r="R77" s="21"/>
      <c r="S77" s="21"/>
      <c r="T77" s="21"/>
      <c r="U77" s="21"/>
      <c r="V77" s="21"/>
      <c r="W77" s="21"/>
      <c r="X77" s="22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</row>
    <row r="78" ht="19.5" customHeight="1">
      <c r="A78" s="21"/>
      <c r="B78" s="21"/>
      <c r="C78" s="35"/>
      <c r="D78" s="35"/>
      <c r="E78" s="63"/>
      <c r="F78" s="63"/>
      <c r="G78" s="63"/>
      <c r="H78" s="63"/>
      <c r="I78" s="63"/>
      <c r="J78" s="63"/>
      <c r="K78" s="63"/>
      <c r="L78" s="63"/>
      <c r="M78" s="63"/>
      <c r="O78" s="21"/>
      <c r="P78" s="21"/>
      <c r="Q78" s="21"/>
      <c r="R78" s="21"/>
      <c r="S78" s="21"/>
      <c r="T78" s="21"/>
      <c r="U78" s="21"/>
      <c r="V78" s="21"/>
      <c r="W78" s="21"/>
      <c r="X78" s="22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</row>
    <row r="79" ht="19.5" customHeight="1">
      <c r="A79" s="21"/>
      <c r="B79" s="21"/>
      <c r="C79" s="35"/>
      <c r="D79" s="35"/>
      <c r="E79" s="63"/>
      <c r="F79" s="59"/>
      <c r="G79" s="63"/>
      <c r="H79" s="63"/>
      <c r="I79" s="63"/>
      <c r="J79" s="63"/>
      <c r="K79" s="63"/>
      <c r="L79" s="63"/>
      <c r="M79" s="63"/>
      <c r="O79" s="21"/>
      <c r="P79" s="21"/>
      <c r="Q79" s="21"/>
      <c r="R79" s="21"/>
      <c r="S79" s="21"/>
      <c r="T79" s="21"/>
      <c r="U79" s="21"/>
      <c r="V79" s="21"/>
      <c r="W79" s="21"/>
      <c r="X79" s="22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</row>
    <row r="80" ht="19.5" customHeight="1">
      <c r="A80" s="21"/>
      <c r="B80" s="21"/>
      <c r="C80" s="35"/>
      <c r="D80" s="35"/>
      <c r="E80" s="63"/>
      <c r="F80" s="59"/>
      <c r="G80" s="63"/>
      <c r="H80" s="63"/>
      <c r="I80" s="63"/>
      <c r="J80" s="63"/>
      <c r="K80" s="63"/>
      <c r="L80" s="63"/>
      <c r="M80" s="63"/>
      <c r="O80" s="21"/>
      <c r="P80" s="21"/>
      <c r="Q80" s="21"/>
      <c r="R80" s="21"/>
      <c r="S80" s="21"/>
      <c r="T80" s="21"/>
      <c r="U80" s="21"/>
      <c r="V80" s="21"/>
      <c r="W80" s="21"/>
      <c r="X80" s="22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</row>
    <row r="81" ht="19.5" customHeight="1">
      <c r="A81" s="21"/>
      <c r="B81" s="21"/>
      <c r="C81" s="35"/>
      <c r="D81" s="35"/>
      <c r="E81" s="63"/>
      <c r="F81" s="59"/>
      <c r="G81" s="63"/>
      <c r="H81" s="63"/>
      <c r="I81" s="63"/>
      <c r="J81" s="63"/>
      <c r="K81" s="63"/>
      <c r="L81" s="63"/>
      <c r="M81" s="63"/>
      <c r="O81" s="21"/>
      <c r="P81" s="21"/>
      <c r="Q81" s="21"/>
      <c r="R81" s="21"/>
      <c r="S81" s="21"/>
      <c r="T81" s="21"/>
      <c r="U81" s="21"/>
      <c r="V81" s="21"/>
      <c r="W81" s="21"/>
      <c r="X81" s="22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</row>
    <row r="82" ht="19.5" customHeight="1">
      <c r="A82" s="21"/>
      <c r="B82" s="21"/>
      <c r="C82" s="35"/>
      <c r="D82" s="35"/>
      <c r="E82" s="63"/>
      <c r="F82" s="108"/>
      <c r="G82" s="63"/>
      <c r="H82" s="63"/>
      <c r="I82" s="63"/>
      <c r="J82" s="63"/>
      <c r="K82" s="63"/>
      <c r="L82" s="63"/>
      <c r="M82" s="63"/>
      <c r="O82" s="21"/>
      <c r="P82" s="21"/>
      <c r="Q82" s="21"/>
      <c r="R82" s="21"/>
      <c r="S82" s="21"/>
      <c r="T82" s="21"/>
      <c r="U82" s="21"/>
      <c r="V82" s="21"/>
      <c r="W82" s="21"/>
      <c r="X82" s="22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</row>
    <row r="83" ht="19.5" customHeight="1">
      <c r="A83" s="21"/>
      <c r="B83" s="21"/>
      <c r="C83" s="35"/>
      <c r="D83" s="35"/>
      <c r="E83" s="63"/>
      <c r="F83" s="59"/>
      <c r="G83" s="63"/>
      <c r="H83" s="63"/>
      <c r="I83" s="63"/>
      <c r="J83" s="63"/>
      <c r="K83" s="63"/>
      <c r="L83" s="63"/>
      <c r="M83" s="63"/>
      <c r="O83" s="21"/>
      <c r="P83" s="21"/>
      <c r="Q83" s="21"/>
      <c r="R83" s="21"/>
      <c r="S83" s="21"/>
      <c r="T83" s="21"/>
      <c r="U83" s="21"/>
      <c r="V83" s="21"/>
      <c r="W83" s="21"/>
      <c r="X83" s="22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</row>
    <row r="84" ht="19.5" customHeight="1">
      <c r="A84" s="21"/>
      <c r="B84" s="21"/>
      <c r="C84" s="35"/>
      <c r="D84" s="35"/>
      <c r="E84" s="63"/>
      <c r="F84" s="108"/>
      <c r="G84" s="63"/>
      <c r="H84" s="63"/>
      <c r="I84" s="63"/>
      <c r="J84" s="63"/>
      <c r="K84" s="63"/>
      <c r="L84" s="63"/>
      <c r="M84" s="63"/>
      <c r="O84" s="21"/>
      <c r="P84" s="21"/>
      <c r="Q84" s="21"/>
      <c r="R84" s="21"/>
      <c r="S84" s="21"/>
      <c r="T84" s="21"/>
      <c r="U84" s="21"/>
      <c r="V84" s="21"/>
      <c r="W84" s="21"/>
      <c r="X84" s="22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</row>
    <row r="85" ht="19.5" customHeight="1">
      <c r="A85" s="21"/>
      <c r="B85" s="21"/>
      <c r="C85" s="35"/>
      <c r="D85" s="35"/>
      <c r="E85" s="63"/>
      <c r="F85" s="59"/>
      <c r="G85" s="63"/>
      <c r="H85" s="63"/>
      <c r="I85" s="63"/>
      <c r="J85" s="63"/>
      <c r="K85" s="63"/>
      <c r="L85" s="63"/>
      <c r="M85" s="63"/>
      <c r="O85" s="21"/>
      <c r="P85" s="21"/>
      <c r="Q85" s="21"/>
      <c r="R85" s="21"/>
      <c r="S85" s="21"/>
      <c r="T85" s="21"/>
      <c r="U85" s="21"/>
      <c r="V85" s="21"/>
      <c r="W85" s="21"/>
      <c r="X85" s="22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</row>
    <row r="86" ht="19.5" customHeight="1">
      <c r="A86" s="21"/>
      <c r="B86" s="21"/>
      <c r="C86" s="35"/>
      <c r="D86" s="35"/>
      <c r="E86" s="63"/>
      <c r="F86" s="63"/>
      <c r="G86" s="63"/>
      <c r="H86" s="63"/>
      <c r="I86" s="63"/>
      <c r="J86" s="63"/>
      <c r="K86" s="63"/>
      <c r="L86" s="63"/>
      <c r="M86" s="63"/>
      <c r="O86" s="21"/>
      <c r="P86" s="21"/>
      <c r="Q86" s="21"/>
      <c r="R86" s="21"/>
      <c r="S86" s="21"/>
      <c r="T86" s="21"/>
      <c r="U86" s="21"/>
      <c r="V86" s="21"/>
      <c r="W86" s="21"/>
      <c r="X86" s="22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</row>
    <row r="87" ht="19.5" customHeight="1">
      <c r="A87" s="21"/>
      <c r="B87" s="21"/>
      <c r="C87" s="35"/>
      <c r="D87" s="35"/>
      <c r="E87" s="63"/>
      <c r="O87" s="21"/>
      <c r="P87" s="21"/>
      <c r="Q87" s="21"/>
      <c r="R87" s="21"/>
      <c r="S87" s="21"/>
      <c r="T87" s="21"/>
      <c r="U87" s="21"/>
      <c r="V87" s="21"/>
      <c r="W87" s="21"/>
      <c r="X87" s="22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</row>
    <row r="88" ht="19.5" customHeight="1">
      <c r="A88" s="21"/>
      <c r="B88" s="21"/>
      <c r="C88" s="35"/>
      <c r="D88" s="35"/>
      <c r="E88" s="63"/>
      <c r="O88" s="21"/>
      <c r="P88" s="21"/>
      <c r="Q88" s="21"/>
      <c r="R88" s="21"/>
      <c r="S88" s="21"/>
      <c r="T88" s="21"/>
      <c r="U88" s="21"/>
      <c r="V88" s="21"/>
      <c r="W88" s="21"/>
      <c r="X88" s="22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</row>
    <row r="89" ht="19.5" customHeight="1">
      <c r="A89" s="21"/>
      <c r="B89" s="21"/>
      <c r="C89" s="35"/>
      <c r="D89" s="35"/>
      <c r="E89" s="63"/>
      <c r="O89" s="21"/>
      <c r="P89" s="21"/>
      <c r="Q89" s="21"/>
      <c r="R89" s="21"/>
      <c r="S89" s="21"/>
      <c r="T89" s="21"/>
      <c r="U89" s="21"/>
      <c r="V89" s="21"/>
      <c r="W89" s="21"/>
      <c r="X89" s="22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</row>
    <row r="90" ht="19.5" customHeight="1">
      <c r="A90" s="21"/>
      <c r="B90" s="21"/>
      <c r="C90" s="35"/>
      <c r="D90" s="35"/>
      <c r="E90" s="63"/>
      <c r="O90" s="21"/>
      <c r="P90" s="21"/>
      <c r="Q90" s="21"/>
      <c r="R90" s="21"/>
      <c r="S90" s="21"/>
      <c r="T90" s="21"/>
      <c r="U90" s="21"/>
      <c r="V90" s="21"/>
      <c r="W90" s="21"/>
      <c r="X90" s="22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</row>
    <row r="91" ht="19.5" customHeight="1">
      <c r="A91" s="21"/>
      <c r="B91" s="21"/>
      <c r="C91" s="35"/>
      <c r="D91" s="35"/>
      <c r="E91" s="63"/>
      <c r="O91" s="21"/>
      <c r="P91" s="21"/>
      <c r="Q91" s="21"/>
      <c r="R91" s="21"/>
      <c r="S91" s="21"/>
      <c r="T91" s="21"/>
      <c r="U91" s="21"/>
      <c r="V91" s="21"/>
      <c r="W91" s="21"/>
      <c r="X91" s="22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</row>
    <row r="92" ht="19.5" customHeight="1">
      <c r="A92" s="21"/>
      <c r="B92" s="21"/>
      <c r="E92" s="21"/>
      <c r="F92" s="21"/>
      <c r="G92" s="21"/>
      <c r="H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2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</row>
    <row r="93" ht="19.5" customHeight="1">
      <c r="A93" s="21"/>
      <c r="B93" s="21"/>
      <c r="E93" s="21"/>
      <c r="F93" s="21"/>
      <c r="G93" s="21"/>
      <c r="H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2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</row>
    <row r="94" ht="19.5" customHeight="1">
      <c r="A94" s="21"/>
      <c r="B94" s="21"/>
      <c r="E94" s="21"/>
      <c r="F94" s="21"/>
      <c r="G94" s="21"/>
      <c r="H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2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</row>
    <row r="95" ht="19.5" customHeight="1">
      <c r="A95" s="21"/>
      <c r="B95" s="21"/>
      <c r="E95" s="21"/>
      <c r="F95" s="21"/>
      <c r="G95" s="21"/>
      <c r="H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2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</row>
    <row r="96" ht="19.5" customHeight="1">
      <c r="A96" s="21"/>
      <c r="B96" s="21"/>
      <c r="E96" s="21"/>
      <c r="F96" s="21"/>
      <c r="G96" s="21"/>
      <c r="H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2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</row>
    <row r="97" ht="19.5" customHeight="1">
      <c r="A97" s="21"/>
      <c r="B97" s="21"/>
      <c r="E97" s="21"/>
      <c r="F97" s="21"/>
      <c r="G97" s="21"/>
      <c r="H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2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</row>
    <row r="98" ht="19.5" customHeight="1">
      <c r="A98" s="21"/>
      <c r="B98" s="21"/>
      <c r="E98" s="21"/>
      <c r="F98" s="21"/>
      <c r="G98" s="21"/>
      <c r="H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2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</row>
    <row r="99" ht="19.5" customHeight="1">
      <c r="A99" s="21"/>
      <c r="B99" s="21"/>
      <c r="E99" s="21"/>
      <c r="F99" s="21"/>
      <c r="G99" s="21"/>
      <c r="H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2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</row>
    <row r="100" ht="19.5" customHeight="1">
      <c r="A100" s="21"/>
      <c r="B100" s="21"/>
      <c r="E100" s="21"/>
      <c r="F100" s="21"/>
      <c r="G100" s="21"/>
      <c r="H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2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</row>
    <row r="101" ht="19.5" customHeight="1">
      <c r="A101" s="21"/>
      <c r="B101" s="21"/>
      <c r="E101" s="21"/>
      <c r="F101" s="21"/>
      <c r="G101" s="21"/>
      <c r="H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2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</row>
    <row r="102" ht="19.5" customHeight="1">
      <c r="A102" s="21"/>
      <c r="B102" s="21"/>
      <c r="E102" s="21"/>
      <c r="F102" s="21"/>
      <c r="G102" s="21"/>
      <c r="H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2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</row>
    <row r="103" ht="19.5" customHeight="1">
      <c r="A103" s="21"/>
      <c r="B103" s="21"/>
      <c r="E103" s="21"/>
      <c r="F103" s="21"/>
      <c r="G103" s="21"/>
      <c r="H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2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</row>
    <row r="104" ht="19.5" customHeight="1">
      <c r="A104" s="21"/>
      <c r="B104" s="21"/>
      <c r="E104" s="21"/>
      <c r="F104" s="21"/>
      <c r="G104" s="21"/>
      <c r="H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2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</row>
    <row r="105" ht="19.5" customHeight="1">
      <c r="A105" s="21"/>
      <c r="B105" s="21"/>
      <c r="E105" s="21"/>
      <c r="F105" s="21"/>
      <c r="G105" s="21"/>
      <c r="H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2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</row>
    <row r="106" ht="19.5" customHeight="1">
      <c r="A106" s="21"/>
      <c r="B106" s="21"/>
      <c r="E106" s="21"/>
      <c r="F106" s="21"/>
      <c r="G106" s="21"/>
      <c r="H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2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</row>
    <row r="107" ht="19.5" customHeight="1">
      <c r="A107" s="21"/>
      <c r="B107" s="21"/>
      <c r="E107" s="21"/>
      <c r="F107" s="21"/>
      <c r="G107" s="21"/>
      <c r="H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2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</row>
    <row r="108" ht="19.5" customHeight="1">
      <c r="A108" s="21"/>
      <c r="B108" s="21"/>
      <c r="E108" s="21"/>
      <c r="F108" s="21"/>
      <c r="G108" s="21"/>
      <c r="H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2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</row>
    <row r="109" ht="19.5" customHeight="1">
      <c r="A109" s="21"/>
      <c r="B109" s="21"/>
      <c r="E109" s="21"/>
      <c r="F109" s="21"/>
      <c r="G109" s="21"/>
      <c r="H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2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</row>
    <row r="110" ht="19.5" customHeight="1">
      <c r="A110" s="21"/>
      <c r="B110" s="21"/>
      <c r="E110" s="21"/>
      <c r="F110" s="21"/>
      <c r="G110" s="21"/>
      <c r="H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2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</row>
    <row r="111" ht="19.5" customHeight="1">
      <c r="A111" s="21"/>
      <c r="B111" s="21"/>
      <c r="E111" s="21"/>
      <c r="F111" s="21"/>
      <c r="G111" s="21"/>
      <c r="H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2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</row>
    <row r="112" ht="19.5" customHeight="1">
      <c r="A112" s="21"/>
      <c r="B112" s="21"/>
      <c r="E112" s="21"/>
      <c r="F112" s="21"/>
      <c r="G112" s="21"/>
      <c r="H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2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</row>
    <row r="113" ht="19.5" customHeight="1">
      <c r="A113" s="21"/>
      <c r="B113" s="21"/>
      <c r="E113" s="21"/>
      <c r="F113" s="21"/>
      <c r="G113" s="21"/>
      <c r="H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2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</row>
    <row r="114" ht="19.5" customHeight="1">
      <c r="A114" s="21"/>
      <c r="B114" s="21"/>
      <c r="E114" s="21"/>
      <c r="F114" s="21"/>
      <c r="G114" s="21"/>
      <c r="H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2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</row>
    <row r="115" ht="19.5" customHeight="1">
      <c r="A115" s="21"/>
      <c r="B115" s="21"/>
      <c r="E115" s="21"/>
      <c r="F115" s="21"/>
      <c r="G115" s="21"/>
      <c r="H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2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</row>
    <row r="116" ht="19.5" customHeight="1">
      <c r="A116" s="21"/>
      <c r="B116" s="21"/>
      <c r="E116" s="21"/>
      <c r="F116" s="21"/>
      <c r="G116" s="21"/>
      <c r="H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2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</row>
    <row r="117" ht="19.5" customHeight="1">
      <c r="A117" s="21"/>
      <c r="B117" s="21"/>
      <c r="E117" s="21"/>
      <c r="F117" s="21"/>
      <c r="G117" s="21"/>
      <c r="H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2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</row>
    <row r="118" ht="19.5" customHeight="1">
      <c r="A118" s="21"/>
      <c r="B118" s="21"/>
      <c r="E118" s="21"/>
      <c r="F118" s="21"/>
      <c r="G118" s="21"/>
      <c r="H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2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</row>
    <row r="119" ht="19.5" customHeight="1">
      <c r="A119" s="21"/>
      <c r="B119" s="21"/>
      <c r="E119" s="21"/>
      <c r="F119" s="21"/>
      <c r="G119" s="21"/>
      <c r="H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2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</row>
    <row r="120" ht="19.5" customHeight="1">
      <c r="A120" s="21"/>
      <c r="B120" s="21"/>
      <c r="E120" s="21"/>
      <c r="F120" s="21"/>
      <c r="G120" s="21"/>
      <c r="H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2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</row>
    <row r="121" ht="19.5" customHeight="1">
      <c r="A121" s="21"/>
      <c r="B121" s="21"/>
      <c r="E121" s="21"/>
      <c r="F121" s="21"/>
      <c r="G121" s="21"/>
      <c r="H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2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</row>
    <row r="122" ht="19.5" customHeight="1">
      <c r="A122" s="21"/>
      <c r="B122" s="21"/>
      <c r="E122" s="21"/>
      <c r="F122" s="21"/>
      <c r="G122" s="21"/>
      <c r="H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2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</row>
    <row r="123" ht="19.5" customHeight="1">
      <c r="A123" s="21"/>
      <c r="B123" s="21"/>
      <c r="E123" s="21"/>
      <c r="F123" s="21"/>
      <c r="G123" s="21"/>
      <c r="H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2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</row>
    <row r="124" ht="19.5" customHeight="1">
      <c r="A124" s="21"/>
      <c r="B124" s="21"/>
      <c r="E124" s="21"/>
      <c r="F124" s="21"/>
      <c r="G124" s="21"/>
      <c r="H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2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</row>
    <row r="125" ht="19.5" customHeight="1">
      <c r="A125" s="21"/>
      <c r="B125" s="21"/>
      <c r="E125" s="21"/>
      <c r="F125" s="21"/>
      <c r="G125" s="21"/>
      <c r="H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2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</row>
    <row r="126" ht="19.5" customHeight="1">
      <c r="A126" s="21"/>
      <c r="B126" s="21"/>
      <c r="E126" s="21"/>
      <c r="F126" s="21"/>
      <c r="G126" s="21"/>
      <c r="H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2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</row>
    <row r="127" ht="19.5" customHeight="1">
      <c r="A127" s="21"/>
      <c r="B127" s="21"/>
      <c r="E127" s="21"/>
      <c r="F127" s="21"/>
      <c r="G127" s="21"/>
      <c r="H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2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</row>
    <row r="128" ht="19.5" customHeight="1">
      <c r="A128" s="21"/>
      <c r="B128" s="21"/>
      <c r="E128" s="21"/>
      <c r="F128" s="21"/>
      <c r="G128" s="21"/>
      <c r="H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2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</row>
    <row r="129" ht="19.5" customHeight="1">
      <c r="A129" s="21"/>
      <c r="B129" s="21"/>
      <c r="E129" s="21"/>
      <c r="F129" s="21"/>
      <c r="G129" s="21"/>
      <c r="H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2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</row>
    <row r="130" ht="19.5" customHeight="1">
      <c r="A130" s="21"/>
      <c r="B130" s="21"/>
      <c r="E130" s="21"/>
      <c r="F130" s="21"/>
      <c r="G130" s="21"/>
      <c r="H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2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</row>
    <row r="131" ht="19.5" customHeight="1">
      <c r="A131" s="21"/>
      <c r="B131" s="21"/>
      <c r="E131" s="21"/>
      <c r="F131" s="21"/>
      <c r="G131" s="21"/>
      <c r="H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2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</row>
    <row r="132" ht="19.5" customHeight="1">
      <c r="A132" s="21"/>
      <c r="B132" s="21"/>
      <c r="E132" s="21"/>
      <c r="F132" s="21"/>
      <c r="G132" s="21"/>
      <c r="H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2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</row>
    <row r="133" ht="19.5" customHeight="1">
      <c r="A133" s="21"/>
      <c r="B133" s="21"/>
      <c r="E133" s="21"/>
      <c r="F133" s="21"/>
      <c r="G133" s="21"/>
      <c r="H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2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</row>
    <row r="134" ht="19.5" customHeight="1">
      <c r="A134" s="21"/>
      <c r="B134" s="21"/>
      <c r="E134" s="21"/>
      <c r="F134" s="21"/>
      <c r="G134" s="21"/>
      <c r="H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2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</row>
    <row r="135" ht="19.5" customHeight="1">
      <c r="A135" s="21"/>
      <c r="B135" s="21"/>
      <c r="E135" s="21"/>
      <c r="F135" s="21"/>
      <c r="G135" s="21"/>
      <c r="H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2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</row>
    <row r="136" ht="19.5" customHeight="1">
      <c r="A136" s="21"/>
      <c r="B136" s="21"/>
      <c r="E136" s="21"/>
      <c r="F136" s="21"/>
      <c r="G136" s="21"/>
      <c r="H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2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</row>
    <row r="137" ht="19.5" customHeight="1">
      <c r="A137" s="21"/>
      <c r="B137" s="21"/>
      <c r="E137" s="21"/>
      <c r="F137" s="21"/>
      <c r="G137" s="21"/>
      <c r="H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2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</row>
    <row r="138" ht="19.5" customHeight="1">
      <c r="A138" s="21"/>
      <c r="B138" s="21"/>
      <c r="E138" s="21"/>
      <c r="F138" s="21"/>
      <c r="G138" s="21"/>
      <c r="H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2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</row>
    <row r="139" ht="19.5" customHeight="1">
      <c r="A139" s="21"/>
      <c r="B139" s="21"/>
      <c r="E139" s="21"/>
      <c r="F139" s="21"/>
      <c r="G139" s="21"/>
      <c r="H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2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</row>
    <row r="140" ht="19.5" customHeight="1">
      <c r="A140" s="21"/>
      <c r="B140" s="21"/>
      <c r="E140" s="21"/>
      <c r="F140" s="21"/>
      <c r="G140" s="21"/>
      <c r="H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2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</row>
    <row r="141" ht="19.5" customHeight="1">
      <c r="A141" s="21"/>
      <c r="B141" s="21"/>
      <c r="E141" s="21"/>
      <c r="F141" s="21"/>
      <c r="G141" s="21"/>
      <c r="H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2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</row>
    <row r="142" ht="19.5" customHeight="1">
      <c r="A142" s="21"/>
      <c r="B142" s="21"/>
      <c r="E142" s="21"/>
      <c r="F142" s="21"/>
      <c r="G142" s="21"/>
      <c r="H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2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</row>
    <row r="143" ht="19.5" customHeight="1">
      <c r="A143" s="21"/>
      <c r="B143" s="21"/>
      <c r="E143" s="21"/>
      <c r="F143" s="21"/>
      <c r="G143" s="21"/>
      <c r="H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2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</row>
    <row r="144" ht="19.5" customHeight="1">
      <c r="A144" s="21"/>
      <c r="B144" s="21"/>
      <c r="E144" s="21"/>
      <c r="F144" s="21"/>
      <c r="G144" s="21"/>
      <c r="H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2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</row>
    <row r="145" ht="19.5" customHeight="1">
      <c r="A145" s="21"/>
      <c r="B145" s="21"/>
      <c r="E145" s="21"/>
      <c r="F145" s="21"/>
      <c r="G145" s="21"/>
      <c r="H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2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</row>
    <row r="146" ht="19.5" customHeight="1">
      <c r="A146" s="21"/>
      <c r="B146" s="21"/>
      <c r="E146" s="21"/>
      <c r="F146" s="21"/>
      <c r="G146" s="21"/>
      <c r="H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2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</row>
    <row r="147" ht="19.5" customHeight="1">
      <c r="A147" s="21"/>
      <c r="B147" s="21"/>
      <c r="E147" s="21"/>
      <c r="F147" s="21"/>
      <c r="G147" s="21"/>
      <c r="H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2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</row>
    <row r="148" ht="19.5" customHeight="1">
      <c r="A148" s="21"/>
      <c r="B148" s="21"/>
      <c r="E148" s="21"/>
      <c r="F148" s="21"/>
      <c r="G148" s="21"/>
      <c r="H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2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</row>
    <row r="149" ht="19.5" customHeight="1">
      <c r="A149" s="21"/>
      <c r="B149" s="21"/>
      <c r="E149" s="21"/>
      <c r="F149" s="21"/>
      <c r="G149" s="21"/>
      <c r="H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2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</row>
    <row r="150" ht="19.5" customHeight="1">
      <c r="A150" s="21"/>
      <c r="B150" s="21"/>
      <c r="E150" s="21"/>
      <c r="F150" s="21"/>
      <c r="G150" s="21"/>
      <c r="H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2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</row>
    <row r="151" ht="19.5" customHeight="1">
      <c r="A151" s="21"/>
      <c r="B151" s="21"/>
      <c r="E151" s="21"/>
      <c r="F151" s="21"/>
      <c r="G151" s="21"/>
      <c r="H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2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</row>
    <row r="152" ht="19.5" customHeight="1">
      <c r="A152" s="21"/>
      <c r="B152" s="21"/>
      <c r="E152" s="21"/>
      <c r="F152" s="21"/>
      <c r="G152" s="21"/>
      <c r="H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2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</row>
    <row r="153" ht="19.5" customHeight="1">
      <c r="A153" s="21"/>
      <c r="B153" s="21"/>
      <c r="E153" s="21"/>
      <c r="F153" s="21"/>
      <c r="G153" s="21"/>
      <c r="H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2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</row>
    <row r="154" ht="19.5" customHeight="1">
      <c r="A154" s="21"/>
      <c r="B154" s="21"/>
      <c r="E154" s="21"/>
      <c r="F154" s="21"/>
      <c r="G154" s="21"/>
      <c r="H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2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</row>
    <row r="155" ht="19.5" customHeight="1">
      <c r="A155" s="21"/>
      <c r="B155" s="21"/>
      <c r="E155" s="21"/>
      <c r="F155" s="21"/>
      <c r="G155" s="21"/>
      <c r="H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2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</row>
    <row r="156" ht="19.5" customHeight="1">
      <c r="A156" s="21"/>
      <c r="B156" s="21"/>
      <c r="E156" s="21"/>
      <c r="F156" s="21"/>
      <c r="G156" s="21"/>
      <c r="H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2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</row>
    <row r="157" ht="19.5" customHeight="1">
      <c r="A157" s="21"/>
      <c r="B157" s="21"/>
      <c r="E157" s="21"/>
      <c r="F157" s="21"/>
      <c r="G157" s="21"/>
      <c r="H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2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</row>
    <row r="158" ht="19.5" customHeight="1">
      <c r="A158" s="21"/>
      <c r="B158" s="21"/>
      <c r="E158" s="21"/>
      <c r="F158" s="21"/>
      <c r="G158" s="21"/>
      <c r="H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2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</row>
    <row r="159" ht="19.5" customHeight="1">
      <c r="A159" s="21"/>
      <c r="B159" s="21"/>
      <c r="E159" s="21"/>
      <c r="F159" s="21"/>
      <c r="G159" s="21"/>
      <c r="H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2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</row>
    <row r="160" ht="19.5" customHeight="1">
      <c r="A160" s="21"/>
      <c r="B160" s="21"/>
      <c r="E160" s="21"/>
      <c r="F160" s="21"/>
      <c r="G160" s="21"/>
      <c r="H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2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</row>
    <row r="161" ht="19.5" customHeight="1">
      <c r="A161" s="21"/>
      <c r="B161" s="21"/>
      <c r="E161" s="21"/>
      <c r="F161" s="21"/>
      <c r="G161" s="21"/>
      <c r="H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2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</row>
    <row r="162" ht="19.5" customHeight="1">
      <c r="A162" s="21"/>
      <c r="B162" s="21"/>
      <c r="E162" s="21"/>
      <c r="F162" s="21"/>
      <c r="G162" s="21"/>
      <c r="H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2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</row>
    <row r="163" ht="19.5" customHeight="1">
      <c r="A163" s="21"/>
      <c r="B163" s="21"/>
      <c r="E163" s="21"/>
      <c r="F163" s="21"/>
      <c r="G163" s="21"/>
      <c r="H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2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</row>
    <row r="164" ht="19.5" customHeight="1">
      <c r="A164" s="21"/>
      <c r="B164" s="21"/>
      <c r="E164" s="21"/>
      <c r="F164" s="21"/>
      <c r="G164" s="21"/>
      <c r="H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2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</row>
    <row r="165" ht="19.5" customHeight="1">
      <c r="A165" s="21"/>
      <c r="B165" s="21"/>
      <c r="E165" s="21"/>
      <c r="F165" s="21"/>
      <c r="G165" s="21"/>
      <c r="H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2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</row>
    <row r="166" ht="19.5" customHeight="1">
      <c r="A166" s="21"/>
      <c r="B166" s="21"/>
      <c r="E166" s="21"/>
      <c r="F166" s="21"/>
      <c r="G166" s="21"/>
      <c r="H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2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</row>
    <row r="167" ht="19.5" customHeight="1">
      <c r="A167" s="21"/>
      <c r="B167" s="21"/>
      <c r="E167" s="21"/>
      <c r="F167" s="21"/>
      <c r="G167" s="21"/>
      <c r="H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2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</row>
    <row r="168" ht="19.5" customHeight="1">
      <c r="A168" s="21"/>
      <c r="B168" s="21"/>
      <c r="E168" s="21"/>
      <c r="F168" s="21"/>
      <c r="G168" s="21"/>
      <c r="H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2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</row>
    <row r="169" ht="19.5" customHeight="1">
      <c r="A169" s="21"/>
      <c r="B169" s="21"/>
      <c r="E169" s="21"/>
      <c r="F169" s="21"/>
      <c r="G169" s="21"/>
      <c r="H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2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ht="19.5" customHeight="1">
      <c r="A170" s="21"/>
      <c r="B170" s="21"/>
      <c r="E170" s="21"/>
      <c r="F170" s="21"/>
      <c r="G170" s="21"/>
      <c r="H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2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ht="19.5" customHeight="1">
      <c r="A171" s="21"/>
      <c r="B171" s="21"/>
      <c r="E171" s="21"/>
      <c r="F171" s="21"/>
      <c r="G171" s="21"/>
      <c r="H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2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</row>
    <row r="172" ht="19.5" customHeight="1">
      <c r="A172" s="21"/>
      <c r="B172" s="21"/>
      <c r="E172" s="21"/>
      <c r="F172" s="21"/>
      <c r="G172" s="21"/>
      <c r="H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2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</row>
    <row r="173" ht="19.5" customHeight="1">
      <c r="A173" s="21"/>
      <c r="B173" s="21"/>
      <c r="E173" s="21"/>
      <c r="F173" s="21"/>
      <c r="G173" s="21"/>
      <c r="H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2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</row>
    <row r="174" ht="19.5" customHeight="1">
      <c r="A174" s="21"/>
      <c r="B174" s="21"/>
      <c r="E174" s="21"/>
      <c r="F174" s="21"/>
      <c r="G174" s="21"/>
      <c r="H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2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</row>
    <row r="175" ht="19.5" customHeight="1">
      <c r="A175" s="21"/>
      <c r="B175" s="21"/>
      <c r="E175" s="21"/>
      <c r="F175" s="21"/>
      <c r="G175" s="21"/>
      <c r="H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2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</row>
    <row r="176" ht="19.5" customHeight="1">
      <c r="A176" s="21"/>
      <c r="B176" s="21"/>
      <c r="E176" s="21"/>
      <c r="F176" s="21"/>
      <c r="G176" s="21"/>
      <c r="H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2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</row>
    <row r="177" ht="19.5" customHeight="1">
      <c r="A177" s="21"/>
      <c r="B177" s="21"/>
      <c r="E177" s="21"/>
      <c r="F177" s="21"/>
      <c r="G177" s="21"/>
      <c r="H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2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</row>
    <row r="178" ht="19.5" customHeight="1">
      <c r="A178" s="21"/>
      <c r="B178" s="21"/>
      <c r="E178" s="21"/>
      <c r="F178" s="21"/>
      <c r="G178" s="21"/>
      <c r="H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2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</row>
    <row r="179" ht="19.5" customHeight="1">
      <c r="A179" s="21"/>
      <c r="B179" s="21"/>
      <c r="E179" s="21"/>
      <c r="F179" s="21"/>
      <c r="G179" s="21"/>
      <c r="H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2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</row>
    <row r="180" ht="19.5" customHeight="1">
      <c r="A180" s="21"/>
      <c r="B180" s="21"/>
      <c r="E180" s="21"/>
      <c r="F180" s="21"/>
      <c r="G180" s="21"/>
      <c r="H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2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</row>
    <row r="181" ht="19.5" customHeight="1">
      <c r="A181" s="21"/>
      <c r="B181" s="21"/>
      <c r="E181" s="21"/>
      <c r="F181" s="21"/>
      <c r="G181" s="21"/>
      <c r="H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2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</row>
    <row r="182" ht="19.5" customHeight="1">
      <c r="A182" s="21"/>
      <c r="B182" s="21"/>
      <c r="E182" s="21"/>
      <c r="F182" s="21"/>
      <c r="G182" s="21"/>
      <c r="H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2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</row>
    <row r="183" ht="19.5" customHeight="1">
      <c r="A183" s="21"/>
      <c r="B183" s="21"/>
      <c r="E183" s="21"/>
      <c r="F183" s="21"/>
      <c r="G183" s="21"/>
      <c r="H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2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</row>
    <row r="184" ht="19.5" customHeight="1">
      <c r="A184" s="21"/>
      <c r="B184" s="21"/>
      <c r="E184" s="21"/>
      <c r="F184" s="21"/>
      <c r="G184" s="21"/>
      <c r="H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2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</row>
    <row r="185" ht="19.5" customHeight="1">
      <c r="A185" s="21"/>
      <c r="B185" s="21"/>
      <c r="E185" s="21"/>
      <c r="F185" s="21"/>
      <c r="G185" s="21"/>
      <c r="H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2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</row>
    <row r="186" ht="19.5" customHeight="1">
      <c r="A186" s="21"/>
      <c r="B186" s="21"/>
      <c r="E186" s="21"/>
      <c r="F186" s="21"/>
      <c r="G186" s="21"/>
      <c r="H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2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</row>
    <row r="187" ht="19.5" customHeight="1">
      <c r="A187" s="21"/>
      <c r="B187" s="21"/>
      <c r="E187" s="21"/>
      <c r="F187" s="21"/>
      <c r="G187" s="21"/>
      <c r="H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2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</row>
    <row r="188" ht="19.5" customHeight="1">
      <c r="A188" s="21"/>
      <c r="B188" s="21"/>
      <c r="E188" s="21"/>
      <c r="F188" s="21"/>
      <c r="G188" s="21"/>
      <c r="H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2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</row>
    <row r="189" ht="19.5" customHeight="1">
      <c r="A189" s="21"/>
      <c r="B189" s="21"/>
      <c r="E189" s="21"/>
      <c r="F189" s="21"/>
      <c r="G189" s="21"/>
      <c r="H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2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</row>
    <row r="190" ht="19.5" customHeight="1">
      <c r="A190" s="21"/>
      <c r="B190" s="21"/>
      <c r="E190" s="21"/>
      <c r="F190" s="21"/>
      <c r="G190" s="21"/>
      <c r="H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2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</row>
    <row r="191" ht="19.5" customHeight="1">
      <c r="A191" s="21"/>
      <c r="B191" s="21"/>
      <c r="E191" s="21"/>
      <c r="F191" s="21"/>
      <c r="G191" s="21"/>
      <c r="H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2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</row>
    <row r="192" ht="19.5" customHeight="1">
      <c r="A192" s="21"/>
      <c r="B192" s="21"/>
      <c r="E192" s="21"/>
      <c r="F192" s="21"/>
      <c r="G192" s="21"/>
      <c r="H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2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</row>
    <row r="193" ht="19.5" customHeight="1">
      <c r="A193" s="21"/>
      <c r="B193" s="21"/>
      <c r="E193" s="21"/>
      <c r="F193" s="21"/>
      <c r="G193" s="21"/>
      <c r="H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2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</row>
    <row r="194" ht="19.5" customHeight="1">
      <c r="A194" s="21"/>
      <c r="B194" s="21"/>
      <c r="E194" s="21"/>
      <c r="F194" s="21"/>
      <c r="G194" s="21"/>
      <c r="H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2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</row>
    <row r="195" ht="19.5" customHeight="1">
      <c r="A195" s="21"/>
      <c r="B195" s="21"/>
      <c r="E195" s="21"/>
      <c r="F195" s="21"/>
      <c r="G195" s="21"/>
      <c r="H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2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</row>
    <row r="196" ht="19.5" customHeight="1">
      <c r="A196" s="21"/>
      <c r="B196" s="21"/>
      <c r="E196" s="21"/>
      <c r="F196" s="21"/>
      <c r="G196" s="21"/>
      <c r="H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2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</row>
    <row r="197" ht="19.5" customHeight="1">
      <c r="A197" s="21"/>
      <c r="B197" s="21"/>
      <c r="E197" s="21"/>
      <c r="F197" s="21"/>
      <c r="G197" s="21"/>
      <c r="H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2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</row>
    <row r="198" ht="19.5" customHeight="1">
      <c r="A198" s="21"/>
      <c r="B198" s="21"/>
      <c r="E198" s="21"/>
      <c r="F198" s="21"/>
      <c r="G198" s="21"/>
      <c r="H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2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</row>
    <row r="199" ht="19.5" customHeight="1">
      <c r="A199" s="21"/>
      <c r="B199" s="21"/>
      <c r="E199" s="21"/>
      <c r="F199" s="21"/>
      <c r="G199" s="21"/>
      <c r="H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2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</row>
    <row r="200" ht="19.5" customHeight="1">
      <c r="A200" s="21"/>
      <c r="B200" s="21"/>
      <c r="E200" s="21"/>
      <c r="F200" s="21"/>
      <c r="G200" s="21"/>
      <c r="H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2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</row>
    <row r="201" ht="19.5" customHeight="1">
      <c r="A201" s="21"/>
      <c r="B201" s="21"/>
      <c r="E201" s="21"/>
      <c r="F201" s="21"/>
      <c r="G201" s="21"/>
      <c r="H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2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</row>
    <row r="202" ht="19.5" customHeight="1">
      <c r="A202" s="21"/>
      <c r="B202" s="21"/>
      <c r="E202" s="21"/>
      <c r="F202" s="21"/>
      <c r="G202" s="21"/>
      <c r="H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2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</row>
    <row r="203" ht="19.5" customHeight="1">
      <c r="A203" s="21"/>
      <c r="B203" s="21"/>
      <c r="E203" s="21"/>
      <c r="F203" s="21"/>
      <c r="G203" s="21"/>
      <c r="H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2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</row>
    <row r="204" ht="19.5" customHeight="1">
      <c r="A204" s="21"/>
      <c r="B204" s="21"/>
      <c r="E204" s="21"/>
      <c r="F204" s="21"/>
      <c r="G204" s="21"/>
      <c r="H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2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</row>
    <row r="205" ht="19.5" customHeight="1">
      <c r="A205" s="21"/>
      <c r="B205" s="21"/>
      <c r="E205" s="21"/>
      <c r="F205" s="21"/>
      <c r="G205" s="21"/>
      <c r="H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2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</row>
    <row r="206" ht="19.5" customHeight="1">
      <c r="A206" s="21"/>
      <c r="B206" s="21"/>
      <c r="E206" s="21"/>
      <c r="F206" s="21"/>
      <c r="G206" s="21"/>
      <c r="H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2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</row>
    <row r="207" ht="19.5" customHeight="1">
      <c r="A207" s="21"/>
      <c r="B207" s="21"/>
      <c r="E207" s="21"/>
      <c r="F207" s="21"/>
      <c r="G207" s="21"/>
      <c r="H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2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</row>
    <row r="208" ht="19.5" customHeight="1">
      <c r="A208" s="21"/>
      <c r="B208" s="21"/>
      <c r="E208" s="21"/>
      <c r="F208" s="21"/>
      <c r="G208" s="21"/>
      <c r="H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2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</row>
    <row r="209" ht="19.5" customHeight="1">
      <c r="A209" s="21"/>
      <c r="B209" s="21"/>
      <c r="E209" s="21"/>
      <c r="F209" s="21"/>
      <c r="G209" s="21"/>
      <c r="H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2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</row>
    <row r="210" ht="19.5" customHeight="1">
      <c r="A210" s="21"/>
      <c r="B210" s="21"/>
      <c r="E210" s="21"/>
      <c r="F210" s="21"/>
      <c r="G210" s="21"/>
      <c r="H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2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</row>
    <row r="211" ht="19.5" customHeight="1">
      <c r="A211" s="21"/>
      <c r="B211" s="21"/>
      <c r="E211" s="21"/>
      <c r="F211" s="21"/>
      <c r="G211" s="21"/>
      <c r="H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2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</row>
    <row r="212" ht="19.5" customHeight="1">
      <c r="A212" s="21"/>
      <c r="B212" s="21"/>
      <c r="E212" s="21"/>
      <c r="F212" s="21"/>
      <c r="G212" s="21"/>
      <c r="H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2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</row>
    <row r="213" ht="19.5" customHeight="1">
      <c r="A213" s="21"/>
      <c r="B213" s="21"/>
      <c r="E213" s="21"/>
      <c r="F213" s="21"/>
      <c r="G213" s="21"/>
      <c r="H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2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</row>
    <row r="214" ht="19.5" customHeight="1">
      <c r="A214" s="21"/>
      <c r="B214" s="21"/>
      <c r="E214" s="21"/>
      <c r="F214" s="21"/>
      <c r="G214" s="21"/>
      <c r="H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2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</row>
    <row r="215" ht="19.5" customHeight="1">
      <c r="A215" s="21"/>
      <c r="B215" s="21"/>
      <c r="E215" s="21"/>
      <c r="F215" s="21"/>
      <c r="G215" s="21"/>
      <c r="H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2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</row>
    <row r="216" ht="19.5" customHeight="1">
      <c r="A216" s="21"/>
      <c r="B216" s="21"/>
      <c r="E216" s="21"/>
      <c r="F216" s="21"/>
      <c r="G216" s="21"/>
      <c r="H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2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</row>
    <row r="217" ht="19.5" customHeight="1">
      <c r="A217" s="21"/>
      <c r="B217" s="21"/>
      <c r="E217" s="21"/>
      <c r="F217" s="21"/>
      <c r="G217" s="21"/>
      <c r="H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2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</row>
    <row r="218" ht="19.5" customHeight="1">
      <c r="A218" s="21"/>
      <c r="B218" s="21"/>
      <c r="E218" s="21"/>
      <c r="F218" s="21"/>
      <c r="G218" s="21"/>
      <c r="H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2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</row>
    <row r="219" ht="19.5" customHeight="1">
      <c r="A219" s="21"/>
      <c r="B219" s="21"/>
      <c r="E219" s="21"/>
      <c r="F219" s="21"/>
      <c r="G219" s="21"/>
      <c r="H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2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</row>
    <row r="220" ht="19.5" customHeight="1">
      <c r="A220" s="21"/>
      <c r="B220" s="21"/>
      <c r="E220" s="21"/>
      <c r="F220" s="21"/>
      <c r="G220" s="21"/>
      <c r="H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2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</row>
    <row r="221" ht="19.5" customHeight="1">
      <c r="A221" s="21"/>
      <c r="B221" s="21"/>
      <c r="E221" s="21"/>
      <c r="F221" s="21"/>
      <c r="G221" s="21"/>
      <c r="H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2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</row>
    <row r="222" ht="19.5" customHeight="1">
      <c r="A222" s="21"/>
      <c r="B222" s="21"/>
      <c r="E222" s="21"/>
      <c r="F222" s="21"/>
      <c r="G222" s="21"/>
      <c r="H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2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</row>
    <row r="223" ht="19.5" customHeight="1">
      <c r="A223" s="21"/>
      <c r="B223" s="21"/>
      <c r="E223" s="21"/>
      <c r="F223" s="21"/>
      <c r="G223" s="21"/>
      <c r="H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2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</row>
    <row r="224" ht="19.5" customHeight="1">
      <c r="A224" s="21"/>
      <c r="B224" s="21"/>
      <c r="E224" s="21"/>
      <c r="F224" s="21"/>
      <c r="G224" s="21"/>
      <c r="H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2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</row>
    <row r="225" ht="19.5" customHeight="1">
      <c r="A225" s="21"/>
      <c r="B225" s="21"/>
      <c r="E225" s="21"/>
      <c r="F225" s="21"/>
      <c r="G225" s="21"/>
      <c r="H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2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</row>
    <row r="226" ht="19.5" customHeight="1">
      <c r="A226" s="21"/>
      <c r="B226" s="21"/>
      <c r="E226" s="21"/>
      <c r="F226" s="21"/>
      <c r="G226" s="21"/>
      <c r="H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2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</row>
    <row r="227" ht="19.5" customHeight="1">
      <c r="A227" s="21"/>
      <c r="B227" s="21"/>
      <c r="E227" s="21"/>
      <c r="F227" s="21"/>
      <c r="G227" s="21"/>
      <c r="H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2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</row>
    <row r="228" ht="19.5" customHeight="1">
      <c r="A228" s="21"/>
      <c r="B228" s="21"/>
      <c r="E228" s="21"/>
      <c r="F228" s="21"/>
      <c r="G228" s="21"/>
      <c r="H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2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</row>
    <row r="229" ht="19.5" customHeight="1">
      <c r="A229" s="21"/>
      <c r="B229" s="21"/>
      <c r="E229" s="21"/>
      <c r="F229" s="21"/>
      <c r="G229" s="21"/>
      <c r="H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2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</row>
    <row r="230" ht="19.5" customHeight="1">
      <c r="A230" s="21"/>
      <c r="B230" s="21"/>
      <c r="E230" s="21"/>
      <c r="F230" s="21"/>
      <c r="G230" s="21"/>
      <c r="H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2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</row>
    <row r="231" ht="19.5" customHeight="1">
      <c r="A231" s="21"/>
      <c r="B231" s="21"/>
      <c r="E231" s="21"/>
      <c r="F231" s="21"/>
      <c r="G231" s="21"/>
      <c r="H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2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</row>
    <row r="232" ht="19.5" customHeight="1">
      <c r="A232" s="21"/>
      <c r="B232" s="21"/>
      <c r="E232" s="21"/>
      <c r="F232" s="21"/>
      <c r="G232" s="21"/>
      <c r="H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2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</row>
    <row r="233" ht="19.5" customHeight="1">
      <c r="A233" s="21"/>
      <c r="B233" s="21"/>
      <c r="E233" s="21"/>
      <c r="F233" s="21"/>
      <c r="G233" s="21"/>
      <c r="H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2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</row>
    <row r="234" ht="19.5" customHeight="1">
      <c r="A234" s="21"/>
      <c r="B234" s="21"/>
      <c r="E234" s="21"/>
      <c r="F234" s="21"/>
      <c r="G234" s="21"/>
      <c r="H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2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</row>
    <row r="235" ht="19.5" customHeight="1">
      <c r="A235" s="21"/>
      <c r="B235" s="21"/>
      <c r="E235" s="21"/>
      <c r="F235" s="21"/>
      <c r="G235" s="21"/>
      <c r="H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2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</row>
    <row r="236" ht="19.5" customHeight="1">
      <c r="A236" s="21"/>
      <c r="B236" s="21"/>
      <c r="E236" s="21"/>
      <c r="F236" s="21"/>
      <c r="G236" s="21"/>
      <c r="H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2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</row>
    <row r="237" ht="19.5" customHeight="1">
      <c r="A237" s="21"/>
      <c r="B237" s="21"/>
      <c r="E237" s="21"/>
      <c r="F237" s="21"/>
      <c r="G237" s="21"/>
      <c r="H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2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ht="19.5" customHeight="1">
      <c r="A238" s="21"/>
      <c r="B238" s="21"/>
      <c r="E238" s="21"/>
      <c r="F238" s="21"/>
      <c r="G238" s="21"/>
      <c r="H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2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</row>
    <row r="239" ht="19.5" customHeight="1">
      <c r="A239" s="21"/>
      <c r="B239" s="21"/>
      <c r="E239" s="21"/>
      <c r="F239" s="21"/>
      <c r="G239" s="21"/>
      <c r="H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2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</row>
    <row r="240" ht="19.5" customHeight="1">
      <c r="A240" s="21"/>
      <c r="B240" s="21"/>
      <c r="E240" s="21"/>
      <c r="F240" s="21"/>
      <c r="G240" s="21"/>
      <c r="H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2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</row>
    <row r="241" ht="19.5" customHeight="1">
      <c r="A241" s="21"/>
      <c r="B241" s="21"/>
      <c r="E241" s="21"/>
      <c r="F241" s="21"/>
      <c r="G241" s="21"/>
      <c r="H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2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</row>
    <row r="242" ht="19.5" customHeight="1">
      <c r="A242" s="21"/>
      <c r="B242" s="21"/>
      <c r="E242" s="21"/>
      <c r="F242" s="21"/>
      <c r="G242" s="21"/>
      <c r="H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2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</row>
    <row r="243" ht="19.5" customHeight="1">
      <c r="A243" s="21"/>
      <c r="B243" s="21"/>
      <c r="E243" s="21"/>
      <c r="F243" s="21"/>
      <c r="G243" s="21"/>
      <c r="H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2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</row>
    <row r="244" ht="19.5" customHeight="1">
      <c r="A244" s="21"/>
      <c r="B244" s="21"/>
      <c r="E244" s="21"/>
      <c r="F244" s="21"/>
      <c r="G244" s="21"/>
      <c r="H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2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</row>
    <row r="245" ht="19.5" customHeight="1">
      <c r="A245" s="21"/>
      <c r="B245" s="21"/>
      <c r="E245" s="21"/>
      <c r="F245" s="21"/>
      <c r="G245" s="21"/>
      <c r="H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2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</row>
    <row r="246" ht="19.5" customHeight="1">
      <c r="A246" s="21"/>
      <c r="B246" s="21"/>
      <c r="E246" s="21"/>
      <c r="F246" s="21"/>
      <c r="G246" s="21"/>
      <c r="H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2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</row>
    <row r="247" ht="19.5" customHeight="1">
      <c r="A247" s="21"/>
      <c r="B247" s="21"/>
      <c r="E247" s="21"/>
      <c r="F247" s="21"/>
      <c r="G247" s="21"/>
      <c r="H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2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</row>
    <row r="248" ht="19.5" customHeight="1">
      <c r="A248" s="21"/>
      <c r="B248" s="21"/>
      <c r="E248" s="21"/>
      <c r="F248" s="21"/>
      <c r="G248" s="21"/>
      <c r="H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2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</row>
    <row r="249" ht="19.5" customHeight="1">
      <c r="A249" s="21"/>
      <c r="B249" s="21"/>
      <c r="E249" s="21"/>
      <c r="F249" s="21"/>
      <c r="G249" s="21"/>
      <c r="H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2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</row>
    <row r="250" ht="19.5" customHeight="1">
      <c r="A250" s="21"/>
      <c r="B250" s="21"/>
      <c r="E250" s="21"/>
      <c r="F250" s="21"/>
      <c r="G250" s="21"/>
      <c r="H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2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</row>
    <row r="251" ht="19.5" customHeight="1">
      <c r="A251" s="21"/>
      <c r="B251" s="21"/>
      <c r="E251" s="21"/>
      <c r="F251" s="21"/>
      <c r="G251" s="21"/>
      <c r="H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2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</row>
    <row r="252" ht="19.5" customHeight="1">
      <c r="A252" s="21"/>
      <c r="B252" s="21"/>
      <c r="E252" s="21"/>
      <c r="F252" s="21"/>
      <c r="G252" s="21"/>
      <c r="H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2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E87:M87"/>
    <mergeCell ref="E88:M88"/>
    <mergeCell ref="E89:M89"/>
    <mergeCell ref="E90:M90"/>
    <mergeCell ref="E91:M91"/>
  </mergeCells>
  <printOptions gridLines="1" horizontalCentered="1"/>
  <pageMargins bottom="0.75" footer="0.0" header="0.0" left="0.7" right="0.7" top="0.75"/>
  <pageSetup scale="76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5.13"/>
    <col customWidth="1" min="2" max="2" width="7.63"/>
    <col customWidth="1" min="3" max="3" width="8.38"/>
    <col customWidth="1" min="4" max="4" width="45.0"/>
    <col customWidth="1" min="5" max="5" width="39.88"/>
    <col customWidth="1" min="6" max="6" width="19.13"/>
    <col customWidth="1" min="7" max="7" width="32.63"/>
    <col customWidth="1" min="8" max="8" width="31.38"/>
    <col customWidth="1" min="9" max="9" width="64.0"/>
    <col customWidth="1" min="10" max="10" width="22.63"/>
    <col customWidth="1" min="11" max="11" width="25.25"/>
    <col customWidth="1" min="12" max="12" width="19.38"/>
    <col customWidth="1" min="13" max="13" width="10.63"/>
    <col customWidth="1" min="14" max="14" width="14.25"/>
    <col customWidth="1" min="15" max="15" width="17.0"/>
    <col customWidth="1" min="16" max="16" width="19.38"/>
    <col customWidth="1" min="17" max="17" width="10.38"/>
    <col customWidth="1" min="18" max="18" width="49.38"/>
  </cols>
  <sheetData>
    <row r="1" ht="12.75" customHeight="1">
      <c r="A1" s="1" t="s">
        <v>1</v>
      </c>
      <c r="B1" s="5"/>
      <c r="D1" s="7" t="s">
        <v>4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ht="12.75" customHeight="1">
      <c r="A2" s="11" t="s">
        <v>6</v>
      </c>
      <c r="B2" s="5"/>
      <c r="D2" s="13" t="s">
        <v>8</v>
      </c>
      <c r="E2" s="15">
        <f>DATE(2026,8,1)</f>
        <v>46235</v>
      </c>
      <c r="F2" s="13" t="s">
        <v>10</v>
      </c>
      <c r="G2" s="13" t="s">
        <v>11</v>
      </c>
      <c r="H2" s="13" t="s">
        <v>12</v>
      </c>
      <c r="I2" s="13" t="s">
        <v>13</v>
      </c>
      <c r="J2" s="13" t="s">
        <v>14</v>
      </c>
      <c r="K2" s="15">
        <f>DATE(2026,8,1)</f>
        <v>46235</v>
      </c>
      <c r="L2" s="13"/>
      <c r="M2" s="13"/>
      <c r="N2" s="13"/>
      <c r="O2" s="13"/>
      <c r="P2" s="13"/>
      <c r="Q2" s="13"/>
      <c r="R2" s="13"/>
    </row>
    <row r="3" ht="18.75" customHeight="1">
      <c r="A3" s="20" t="s">
        <v>16</v>
      </c>
      <c r="B3" s="5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ht="18.75" customHeight="1">
      <c r="A4" s="25" t="s">
        <v>17</v>
      </c>
      <c r="B4" s="26">
        <v>16.99</v>
      </c>
      <c r="D4" s="27" t="s">
        <v>18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ht="18.75" customHeight="1">
      <c r="A5" s="25" t="s">
        <v>20</v>
      </c>
      <c r="B5" s="26">
        <v>169.99</v>
      </c>
      <c r="D5" s="31" t="s">
        <v>21</v>
      </c>
      <c r="E5" s="31" t="s">
        <v>22</v>
      </c>
      <c r="F5" s="31" t="s">
        <v>23</v>
      </c>
      <c r="G5" s="31" t="s">
        <v>24</v>
      </c>
      <c r="H5" s="31" t="s">
        <v>25</v>
      </c>
      <c r="I5" s="31" t="s">
        <v>26</v>
      </c>
      <c r="J5" s="13"/>
      <c r="K5" s="13"/>
      <c r="L5" s="13"/>
      <c r="M5" s="13"/>
      <c r="N5" s="13"/>
      <c r="O5" s="13"/>
      <c r="P5" s="13"/>
      <c r="Q5" s="13"/>
      <c r="R5" s="13"/>
    </row>
    <row r="6" ht="18.75" customHeight="1">
      <c r="A6" s="25"/>
      <c r="B6" s="25"/>
      <c r="D6" s="13" t="s">
        <v>27</v>
      </c>
      <c r="E6" s="33">
        <f>$B$8</f>
        <v>0.05</v>
      </c>
      <c r="F6" s="13" t="s">
        <v>29</v>
      </c>
      <c r="G6" s="13" t="s">
        <v>30</v>
      </c>
      <c r="H6" s="13" t="s">
        <v>31</v>
      </c>
      <c r="I6" s="13" t="s">
        <v>32</v>
      </c>
      <c r="J6" s="13"/>
      <c r="K6" s="13"/>
      <c r="L6" s="13"/>
      <c r="M6" s="13"/>
      <c r="N6" s="13"/>
      <c r="O6" s="13"/>
      <c r="P6" s="13"/>
      <c r="Q6" s="13"/>
      <c r="R6" s="13"/>
    </row>
    <row r="7" ht="18.75" customHeight="1">
      <c r="A7" s="20" t="s">
        <v>34</v>
      </c>
      <c r="B7" s="5"/>
      <c r="D7" s="13" t="s">
        <v>36</v>
      </c>
      <c r="E7" s="33">
        <f>$B$9</f>
        <v>0.03</v>
      </c>
      <c r="F7" s="13" t="s">
        <v>29</v>
      </c>
      <c r="G7" s="13" t="s">
        <v>30</v>
      </c>
      <c r="H7" s="13" t="s">
        <v>31</v>
      </c>
      <c r="I7" s="13" t="s">
        <v>39</v>
      </c>
      <c r="J7" s="13"/>
      <c r="K7" s="13"/>
      <c r="L7" s="13"/>
      <c r="M7" s="13"/>
      <c r="N7" s="13"/>
      <c r="O7" s="13"/>
      <c r="P7" s="13"/>
      <c r="Q7" s="13"/>
      <c r="R7" s="13"/>
    </row>
    <row r="8" ht="18.75" customHeight="1">
      <c r="A8" s="25" t="s">
        <v>40</v>
      </c>
      <c r="B8" s="40">
        <v>0.05</v>
      </c>
      <c r="D8" s="13" t="s">
        <v>41</v>
      </c>
      <c r="E8" s="33">
        <f>$B$10</f>
        <v>0.005</v>
      </c>
      <c r="F8" s="13" t="s">
        <v>29</v>
      </c>
      <c r="G8" s="13" t="s">
        <v>30</v>
      </c>
      <c r="H8" s="13" t="s">
        <v>31</v>
      </c>
      <c r="I8" s="13" t="s">
        <v>42</v>
      </c>
      <c r="J8" s="13"/>
      <c r="K8" s="13"/>
      <c r="L8" s="13"/>
      <c r="M8" s="13"/>
      <c r="N8" s="13"/>
      <c r="O8" s="13"/>
      <c r="P8" s="13"/>
      <c r="Q8" s="13"/>
      <c r="R8" s="13"/>
    </row>
    <row r="9" ht="18.75" customHeight="1">
      <c r="A9" s="25" t="s">
        <v>44</v>
      </c>
      <c r="B9" s="40">
        <v>0.03</v>
      </c>
      <c r="D9" s="13" t="s">
        <v>45</v>
      </c>
      <c r="E9" s="33">
        <f>$B$11</f>
        <v>0.1</v>
      </c>
      <c r="F9" s="13" t="s">
        <v>29</v>
      </c>
      <c r="G9" s="13" t="s">
        <v>30</v>
      </c>
      <c r="H9" s="13" t="s">
        <v>31</v>
      </c>
      <c r="I9" s="13" t="s">
        <v>48</v>
      </c>
      <c r="J9" s="13"/>
      <c r="K9" s="13"/>
      <c r="L9" s="13"/>
      <c r="M9" s="13"/>
      <c r="N9" s="13"/>
      <c r="O9" s="13"/>
      <c r="P9" s="13"/>
      <c r="Q9" s="13"/>
      <c r="R9" s="13"/>
    </row>
    <row r="10" ht="18.75" customHeight="1">
      <c r="A10" s="25" t="s">
        <v>50</v>
      </c>
      <c r="B10" s="40">
        <v>0.005</v>
      </c>
      <c r="D10" s="13" t="s">
        <v>51</v>
      </c>
      <c r="E10" s="33">
        <v>0.029</v>
      </c>
      <c r="F10" s="13" t="s">
        <v>29</v>
      </c>
      <c r="G10" s="13" t="s">
        <v>53</v>
      </c>
      <c r="H10" s="13" t="s">
        <v>54</v>
      </c>
      <c r="I10" s="13" t="s">
        <v>55</v>
      </c>
      <c r="J10" s="13"/>
      <c r="K10" s="13"/>
      <c r="L10" s="13"/>
      <c r="M10" s="13"/>
      <c r="N10" s="13"/>
      <c r="O10" s="13"/>
      <c r="P10" s="13"/>
      <c r="Q10" s="13"/>
      <c r="R10" s="13"/>
    </row>
    <row r="11" ht="18.75" customHeight="1">
      <c r="A11" s="25" t="s">
        <v>58</v>
      </c>
      <c r="B11" s="40">
        <v>0.1</v>
      </c>
      <c r="D11" s="13" t="s">
        <v>60</v>
      </c>
      <c r="E11" s="47">
        <v>0.3</v>
      </c>
      <c r="F11" s="13" t="s">
        <v>61</v>
      </c>
      <c r="G11" s="13" t="s">
        <v>53</v>
      </c>
      <c r="H11" s="13" t="s">
        <v>54</v>
      </c>
      <c r="I11" s="13" t="s">
        <v>62</v>
      </c>
      <c r="J11" s="13"/>
      <c r="K11" s="13"/>
      <c r="L11" s="13"/>
      <c r="M11" s="13"/>
      <c r="N11" s="13"/>
      <c r="O11" s="13"/>
      <c r="P11" s="13"/>
      <c r="Q11" s="13"/>
      <c r="R11" s="13"/>
    </row>
    <row r="12" ht="18.75" customHeight="1">
      <c r="A12" s="25"/>
      <c r="B12" s="25"/>
      <c r="D12" s="13" t="s">
        <v>63</v>
      </c>
      <c r="E12" s="47">
        <v>15.0</v>
      </c>
      <c r="F12" s="13" t="s">
        <v>64</v>
      </c>
      <c r="G12" s="13" t="s">
        <v>53</v>
      </c>
      <c r="H12" s="13" t="s">
        <v>65</v>
      </c>
      <c r="I12" s="13" t="s">
        <v>66</v>
      </c>
      <c r="J12" s="13"/>
      <c r="K12" s="13"/>
      <c r="L12" s="13"/>
      <c r="M12" s="13"/>
      <c r="N12" s="13"/>
      <c r="O12" s="13"/>
      <c r="P12" s="13"/>
      <c r="Q12" s="13"/>
      <c r="R12" s="13"/>
    </row>
    <row r="13" ht="18.75" customHeight="1">
      <c r="A13" s="20" t="s">
        <v>67</v>
      </c>
      <c r="B13" s="5"/>
      <c r="D13" s="13" t="s">
        <v>69</v>
      </c>
      <c r="E13" s="47">
        <f>$B$4</f>
        <v>16.99</v>
      </c>
      <c r="F13" s="13" t="s">
        <v>72</v>
      </c>
      <c r="G13" s="13" t="s">
        <v>74</v>
      </c>
      <c r="H13" s="13" t="s">
        <v>75</v>
      </c>
      <c r="I13" s="13" t="s">
        <v>76</v>
      </c>
      <c r="J13" s="13"/>
      <c r="K13" s="13"/>
      <c r="L13" s="13"/>
      <c r="M13" s="13"/>
      <c r="N13" s="13"/>
      <c r="O13" s="13"/>
      <c r="P13" s="13"/>
      <c r="Q13" s="13"/>
      <c r="R13" s="13"/>
    </row>
    <row r="14" ht="18.75" customHeight="1">
      <c r="A14" s="25" t="s">
        <v>77</v>
      </c>
      <c r="B14" s="40">
        <v>0.34</v>
      </c>
      <c r="D14" s="13" t="s">
        <v>78</v>
      </c>
      <c r="E14" s="47">
        <f>$B$5</f>
        <v>169.99</v>
      </c>
      <c r="F14" s="13" t="s">
        <v>79</v>
      </c>
      <c r="G14" s="13" t="s">
        <v>74</v>
      </c>
      <c r="H14" s="13" t="s">
        <v>75</v>
      </c>
      <c r="I14" s="13" t="s">
        <v>80</v>
      </c>
      <c r="J14" s="13"/>
      <c r="K14" s="13"/>
      <c r="L14" s="13"/>
      <c r="M14" s="13"/>
      <c r="N14" s="13"/>
      <c r="O14" s="13"/>
      <c r="P14" s="13"/>
      <c r="Q14" s="13"/>
      <c r="R14" s="13"/>
    </row>
    <row r="15" ht="18.75" customHeight="1">
      <c r="A15" s="25" t="s">
        <v>81</v>
      </c>
      <c r="B15" s="53">
        <v>2.0</v>
      </c>
      <c r="D15" s="13" t="s">
        <v>82</v>
      </c>
      <c r="E15" s="33">
        <f>$B$14</f>
        <v>0.34</v>
      </c>
      <c r="F15" s="13" t="s">
        <v>29</v>
      </c>
      <c r="G15" s="13" t="s">
        <v>74</v>
      </c>
      <c r="H15" s="13" t="s">
        <v>75</v>
      </c>
      <c r="I15" s="13" t="s">
        <v>85</v>
      </c>
      <c r="J15" s="13"/>
      <c r="K15" s="13"/>
      <c r="L15" s="13"/>
      <c r="M15" s="13"/>
      <c r="N15" s="13"/>
      <c r="O15" s="13"/>
      <c r="P15" s="13"/>
      <c r="Q15" s="13"/>
      <c r="R15" s="13"/>
    </row>
    <row r="16" ht="18.75" customHeight="1">
      <c r="A16" s="25"/>
      <c r="B16" s="25"/>
      <c r="D16" s="13" t="s">
        <v>87</v>
      </c>
      <c r="E16" s="58">
        <f>$B$15</f>
        <v>2</v>
      </c>
      <c r="F16" s="13" t="s">
        <v>88</v>
      </c>
      <c r="G16" s="13" t="s">
        <v>74</v>
      </c>
      <c r="H16" s="13" t="s">
        <v>75</v>
      </c>
      <c r="I16" s="13" t="s">
        <v>89</v>
      </c>
      <c r="J16" s="13"/>
      <c r="K16" s="13"/>
      <c r="L16" s="13"/>
      <c r="M16" s="13"/>
      <c r="N16" s="13"/>
      <c r="O16" s="13"/>
      <c r="P16" s="13"/>
      <c r="Q16" s="13"/>
      <c r="R16" s="13"/>
    </row>
    <row r="17" ht="18.75" customHeight="1">
      <c r="A17" s="60" t="s">
        <v>90</v>
      </c>
      <c r="D17" s="13" t="s">
        <v>91</v>
      </c>
      <c r="E17" s="33">
        <v>0.1</v>
      </c>
      <c r="F17" s="13" t="s">
        <v>29</v>
      </c>
      <c r="G17" s="13" t="s">
        <v>30</v>
      </c>
      <c r="H17" s="13" t="s">
        <v>93</v>
      </c>
      <c r="I17" s="13" t="s">
        <v>94</v>
      </c>
      <c r="J17" s="13"/>
      <c r="K17" s="13"/>
      <c r="L17" s="13"/>
      <c r="M17" s="13"/>
      <c r="N17" s="13"/>
      <c r="O17" s="13"/>
      <c r="P17" s="13"/>
      <c r="Q17" s="13"/>
      <c r="R17" s="13"/>
    </row>
    <row r="18" ht="18.75" customHeight="1">
      <c r="D18" s="13" t="s">
        <v>96</v>
      </c>
      <c r="E18" s="66">
        <v>2.0</v>
      </c>
      <c r="F18" s="13" t="s">
        <v>97</v>
      </c>
      <c r="G18" s="13" t="s">
        <v>30</v>
      </c>
      <c r="H18" s="13" t="s">
        <v>93</v>
      </c>
      <c r="I18" s="13" t="s">
        <v>98</v>
      </c>
      <c r="J18" s="13"/>
      <c r="K18" s="13"/>
      <c r="L18" s="13"/>
      <c r="M18" s="13"/>
      <c r="N18" s="13"/>
      <c r="O18" s="13"/>
      <c r="P18" s="13"/>
      <c r="Q18" s="13"/>
      <c r="R18" s="13"/>
    </row>
    <row r="19" ht="18.75" customHeight="1">
      <c r="D19" s="13" t="s">
        <v>100</v>
      </c>
      <c r="E19" s="33">
        <v>0.1</v>
      </c>
      <c r="F19" s="13" t="s">
        <v>29</v>
      </c>
      <c r="G19" s="13" t="s">
        <v>30</v>
      </c>
      <c r="H19" s="13" t="s">
        <v>93</v>
      </c>
      <c r="I19" s="13" t="s">
        <v>94</v>
      </c>
      <c r="J19" s="13"/>
      <c r="K19" s="13"/>
      <c r="L19" s="13"/>
      <c r="M19" s="13"/>
      <c r="N19" s="13"/>
      <c r="O19" s="13"/>
      <c r="P19" s="13"/>
      <c r="Q19" s="13"/>
      <c r="R19" s="13"/>
    </row>
    <row r="20" ht="18.75" customHeight="1">
      <c r="D20" s="13" t="s">
        <v>102</v>
      </c>
      <c r="E20" s="66">
        <v>6.0</v>
      </c>
      <c r="F20" s="13" t="s">
        <v>97</v>
      </c>
      <c r="G20" s="13" t="s">
        <v>30</v>
      </c>
      <c r="H20" s="13" t="s">
        <v>93</v>
      </c>
      <c r="I20" s="13" t="s">
        <v>103</v>
      </c>
      <c r="J20" s="13"/>
      <c r="K20" s="13"/>
      <c r="L20" s="13"/>
      <c r="M20" s="13"/>
      <c r="N20" s="13"/>
      <c r="O20" s="13"/>
      <c r="P20" s="13"/>
      <c r="Q20" s="13"/>
      <c r="R20" s="13"/>
    </row>
    <row r="21" ht="18.75" customHeight="1">
      <c r="D21" s="13" t="s">
        <v>105</v>
      </c>
      <c r="E21" s="66">
        <v>1.0</v>
      </c>
      <c r="F21" s="13" t="s">
        <v>106</v>
      </c>
      <c r="G21" s="13" t="s">
        <v>30</v>
      </c>
      <c r="H21" s="13" t="s">
        <v>107</v>
      </c>
      <c r="I21" s="13" t="s">
        <v>108</v>
      </c>
      <c r="J21" s="13"/>
      <c r="K21" s="13"/>
      <c r="L21" s="13"/>
      <c r="M21" s="13"/>
      <c r="N21" s="13"/>
      <c r="O21" s="13"/>
      <c r="P21" s="13"/>
      <c r="Q21" s="13"/>
      <c r="R21" s="13"/>
    </row>
    <row r="22" ht="18.75" customHeight="1">
      <c r="D22" s="13" t="s">
        <v>109</v>
      </c>
      <c r="E22" s="66">
        <v>1.0</v>
      </c>
      <c r="F22" s="13" t="s">
        <v>106</v>
      </c>
      <c r="G22" s="13" t="s">
        <v>30</v>
      </c>
      <c r="H22" s="13" t="s">
        <v>107</v>
      </c>
      <c r="I22" s="13" t="s">
        <v>108</v>
      </c>
      <c r="J22" s="13"/>
      <c r="K22" s="13"/>
      <c r="L22" s="13"/>
      <c r="M22" s="13"/>
      <c r="N22" s="13"/>
      <c r="O22" s="13"/>
      <c r="P22" s="13"/>
      <c r="Q22" s="13"/>
      <c r="R22" s="13"/>
    </row>
    <row r="23" ht="18.75" customHeight="1">
      <c r="D23" s="13" t="s">
        <v>111</v>
      </c>
      <c r="E23" s="66">
        <v>0.1</v>
      </c>
      <c r="F23" s="13" t="s">
        <v>106</v>
      </c>
      <c r="G23" s="13" t="s">
        <v>30</v>
      </c>
      <c r="H23" s="13" t="s">
        <v>107</v>
      </c>
      <c r="I23" s="13" t="s">
        <v>108</v>
      </c>
      <c r="J23" s="13"/>
      <c r="K23" s="13"/>
      <c r="L23" s="13"/>
      <c r="M23" s="13"/>
      <c r="N23" s="13"/>
      <c r="O23" s="13"/>
      <c r="P23" s="13"/>
      <c r="Q23" s="13"/>
      <c r="R23" s="13"/>
    </row>
    <row r="24" ht="18.75" customHeight="1">
      <c r="D24" s="13" t="s">
        <v>114</v>
      </c>
      <c r="E24" s="66">
        <v>0.5</v>
      </c>
      <c r="F24" s="13" t="s">
        <v>106</v>
      </c>
      <c r="G24" s="13" t="s">
        <v>30</v>
      </c>
      <c r="H24" s="13" t="s">
        <v>107</v>
      </c>
      <c r="I24" s="13" t="s">
        <v>108</v>
      </c>
      <c r="J24" s="13"/>
      <c r="K24" s="13"/>
      <c r="L24" s="13"/>
      <c r="M24" s="13"/>
      <c r="N24" s="13"/>
      <c r="O24" s="13"/>
      <c r="P24" s="13"/>
      <c r="Q24" s="13"/>
      <c r="R24" s="13"/>
    </row>
    <row r="25" ht="18.75" customHeight="1">
      <c r="D25" s="27" t="s">
        <v>116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ht="18.75" customHeight="1">
      <c r="D26" s="31" t="s">
        <v>118</v>
      </c>
      <c r="E26" s="31" t="s">
        <v>120</v>
      </c>
      <c r="F26" s="31" t="s">
        <v>70</v>
      </c>
      <c r="G26" s="31" t="s">
        <v>25</v>
      </c>
      <c r="H26" s="31" t="s">
        <v>24</v>
      </c>
      <c r="I26" s="31" t="s">
        <v>26</v>
      </c>
      <c r="J26" s="13"/>
      <c r="K26" s="13"/>
      <c r="L26" s="13"/>
      <c r="M26" s="13"/>
      <c r="N26" s="13"/>
      <c r="O26" s="13"/>
      <c r="P26" s="13"/>
      <c r="Q26" s="13"/>
      <c r="R26" s="13"/>
    </row>
    <row r="27" ht="18.75" customHeight="1">
      <c r="D27" s="13" t="s">
        <v>121</v>
      </c>
      <c r="E27" s="66">
        <v>3.0</v>
      </c>
      <c r="F27" s="47">
        <v>1.99</v>
      </c>
      <c r="G27" s="13" t="s">
        <v>122</v>
      </c>
      <c r="H27" s="13" t="s">
        <v>74</v>
      </c>
      <c r="I27" s="13" t="s">
        <v>123</v>
      </c>
      <c r="J27" s="13"/>
      <c r="K27" s="13"/>
      <c r="L27" s="13"/>
      <c r="M27" s="13"/>
      <c r="N27" s="13"/>
      <c r="O27" s="13"/>
      <c r="P27" s="13"/>
      <c r="Q27" s="13"/>
      <c r="R27" s="13"/>
    </row>
    <row r="28" ht="18.75" customHeight="1">
      <c r="D28" s="13" t="s">
        <v>124</v>
      </c>
      <c r="E28" s="66">
        <v>10.0</v>
      </c>
      <c r="F28" s="47">
        <v>4.99</v>
      </c>
      <c r="G28" s="13" t="s">
        <v>122</v>
      </c>
      <c r="H28" s="13" t="s">
        <v>74</v>
      </c>
      <c r="I28" s="13" t="s">
        <v>123</v>
      </c>
      <c r="J28" s="13"/>
      <c r="K28" s="13"/>
      <c r="L28" s="13"/>
      <c r="M28" s="13"/>
      <c r="N28" s="13"/>
      <c r="O28" s="13"/>
      <c r="P28" s="13"/>
      <c r="Q28" s="13"/>
      <c r="R28" s="13"/>
    </row>
    <row r="29" ht="18.75" customHeight="1">
      <c r="D29" s="13" t="s">
        <v>125</v>
      </c>
      <c r="E29" s="66">
        <v>25.0</v>
      </c>
      <c r="F29" s="47">
        <v>9.99</v>
      </c>
      <c r="G29" s="13" t="s">
        <v>122</v>
      </c>
      <c r="H29" s="13" t="s">
        <v>74</v>
      </c>
      <c r="I29" s="13" t="s">
        <v>123</v>
      </c>
      <c r="J29" s="13"/>
      <c r="K29" s="13"/>
      <c r="L29" s="13"/>
      <c r="M29" s="13"/>
      <c r="N29" s="13"/>
      <c r="O29" s="13"/>
      <c r="P29" s="13"/>
      <c r="Q29" s="13"/>
      <c r="R29" s="13"/>
    </row>
    <row r="30" ht="18.75" customHeight="1">
      <c r="D30" s="13" t="s">
        <v>127</v>
      </c>
      <c r="E30" s="66">
        <v>50.0</v>
      </c>
      <c r="F30" s="47">
        <v>17.99</v>
      </c>
      <c r="G30" s="13" t="s">
        <v>122</v>
      </c>
      <c r="H30" s="13" t="s">
        <v>74</v>
      </c>
      <c r="I30" s="13" t="s">
        <v>123</v>
      </c>
      <c r="J30" s="13"/>
      <c r="K30" s="13"/>
      <c r="L30" s="13"/>
      <c r="M30" s="13"/>
      <c r="N30" s="13"/>
      <c r="O30" s="13"/>
      <c r="P30" s="13"/>
      <c r="Q30" s="13"/>
      <c r="R30" s="13"/>
    </row>
    <row r="31" ht="18.75" customHeight="1"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ht="18.75" customHeight="1"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ht="18.75" customHeight="1">
      <c r="D33" s="27" t="s">
        <v>130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</row>
    <row r="34" ht="18.75" customHeight="1">
      <c r="D34" s="31" t="s">
        <v>131</v>
      </c>
      <c r="E34" s="31" t="s">
        <v>24</v>
      </c>
      <c r="F34" s="31" t="s">
        <v>132</v>
      </c>
      <c r="G34" s="31" t="s">
        <v>133</v>
      </c>
      <c r="H34" s="31" t="s">
        <v>134</v>
      </c>
      <c r="I34" s="31" t="s">
        <v>25</v>
      </c>
      <c r="J34" s="31" t="s">
        <v>26</v>
      </c>
      <c r="K34" s="13"/>
      <c r="L34" s="13"/>
      <c r="M34" s="13"/>
      <c r="N34" s="13"/>
      <c r="O34" s="13"/>
      <c r="P34" s="13"/>
      <c r="Q34" s="13"/>
      <c r="R34" s="13"/>
    </row>
    <row r="35" ht="18.75" customHeight="1">
      <c r="D35" s="13" t="s">
        <v>136</v>
      </c>
      <c r="E35" s="13" t="s">
        <v>137</v>
      </c>
      <c r="F35" s="33">
        <v>1.0</v>
      </c>
      <c r="G35" s="33">
        <v>1.0</v>
      </c>
      <c r="H35" s="80">
        <v>0.004</v>
      </c>
      <c r="I35" s="13" t="s">
        <v>139</v>
      </c>
      <c r="J35" s="13" t="s">
        <v>140</v>
      </c>
      <c r="K35" s="13"/>
      <c r="L35" s="13"/>
      <c r="M35" s="13"/>
      <c r="N35" s="13"/>
      <c r="O35" s="13"/>
      <c r="P35" s="13"/>
      <c r="Q35" s="13"/>
      <c r="R35" s="13"/>
    </row>
    <row r="36" ht="18.75" customHeight="1">
      <c r="D36" s="13" t="s">
        <v>141</v>
      </c>
      <c r="E36" s="13" t="s">
        <v>142</v>
      </c>
      <c r="F36" s="33">
        <v>0.0</v>
      </c>
      <c r="G36" s="33">
        <v>0.0</v>
      </c>
      <c r="H36" s="80">
        <v>0.0015</v>
      </c>
      <c r="I36" s="13" t="s">
        <v>143</v>
      </c>
      <c r="J36" s="13" t="s">
        <v>144</v>
      </c>
      <c r="K36" s="13"/>
      <c r="L36" s="13"/>
      <c r="M36" s="13"/>
      <c r="N36" s="13"/>
      <c r="O36" s="13"/>
      <c r="P36" s="13"/>
      <c r="Q36" s="13"/>
      <c r="R36" s="13"/>
    </row>
    <row r="37" ht="18.75" customHeight="1">
      <c r="D37" s="13" t="s">
        <v>146</v>
      </c>
      <c r="E37" s="13" t="s">
        <v>147</v>
      </c>
      <c r="F37" s="33">
        <v>0.0</v>
      </c>
      <c r="G37" s="33">
        <v>0.0</v>
      </c>
      <c r="H37" s="80">
        <v>0.02</v>
      </c>
      <c r="I37" s="13" t="s">
        <v>148</v>
      </c>
      <c r="J37" s="13" t="s">
        <v>149</v>
      </c>
      <c r="K37" s="13"/>
      <c r="L37" s="13"/>
      <c r="M37" s="13"/>
      <c r="N37" s="13"/>
      <c r="O37" s="13"/>
      <c r="P37" s="13"/>
      <c r="Q37" s="13"/>
      <c r="R37" s="13"/>
    </row>
    <row r="38" ht="18.75" customHeight="1">
      <c r="D38" s="82" t="s">
        <v>150</v>
      </c>
      <c r="E38" s="86">
        <f>SUMPRODUCT(F35:F37,H35:H37)</f>
        <v>0.004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ht="18.75" customHeight="1">
      <c r="D39" s="82" t="s">
        <v>154</v>
      </c>
      <c r="E39" s="86">
        <f>SUMPRODUCT(G35:G37,H35:H37)</f>
        <v>0.004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ht="18.75" customHeight="1">
      <c r="D40" s="82" t="s">
        <v>157</v>
      </c>
      <c r="E40" s="82" t="str">
        <f>IF(ABS(SUM(F35:F37)-1)&lt;0.000001,"OK","ERROR: Free OCR weights")</f>
        <v>OK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ht="18.75" customHeight="1">
      <c r="D41" s="82" t="s">
        <v>161</v>
      </c>
      <c r="E41" s="82" t="str">
        <f>IF(ABS(SUM(G35:G37)-1)&lt;0.000001,"OK","ERROR: Elite OCR weights")</f>
        <v>OK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ht="18.75" customHeight="1"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ht="18.75" customHeight="1">
      <c r="D43" s="27" t="s">
        <v>165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</row>
    <row r="44" ht="18.75" customHeight="1">
      <c r="D44" s="31" t="s">
        <v>170</v>
      </c>
      <c r="E44" s="31" t="s">
        <v>171</v>
      </c>
      <c r="F44" s="31" t="s">
        <v>172</v>
      </c>
      <c r="G44" s="31" t="s">
        <v>173</v>
      </c>
      <c r="H44" s="31" t="s">
        <v>174</v>
      </c>
      <c r="I44" s="31" t="s">
        <v>175</v>
      </c>
      <c r="J44" s="31" t="s">
        <v>176</v>
      </c>
      <c r="K44" s="31" t="s">
        <v>177</v>
      </c>
      <c r="L44" s="31" t="s">
        <v>178</v>
      </c>
      <c r="M44" s="31" t="s">
        <v>179</v>
      </c>
      <c r="N44" s="31" t="s">
        <v>181</v>
      </c>
      <c r="O44" s="31" t="s">
        <v>182</v>
      </c>
      <c r="P44" s="31" t="s">
        <v>183</v>
      </c>
      <c r="Q44" s="31" t="s">
        <v>25</v>
      </c>
      <c r="R44" s="31" t="s">
        <v>26</v>
      </c>
    </row>
    <row r="45" ht="18.75" customHeight="1">
      <c r="D45" s="13" t="s">
        <v>184</v>
      </c>
      <c r="E45" s="13" t="s">
        <v>185</v>
      </c>
      <c r="F45" s="13" t="s">
        <v>186</v>
      </c>
      <c r="G45" s="94"/>
      <c r="H45" s="33">
        <v>0.007</v>
      </c>
      <c r="I45" s="95">
        <f t="shared" ref="I45:I62" si="1">IF(ISNUMBER(G45),G45,H45)</f>
        <v>0.007</v>
      </c>
      <c r="J45" s="13" t="str">
        <f t="shared" ref="J45:J62" si="2">IF(ISNUMBER(G45),"Actual","Official / estimate")</f>
        <v>Official / estimate</v>
      </c>
      <c r="K45" s="13" t="s">
        <v>188</v>
      </c>
      <c r="L45" s="66">
        <v>0.0</v>
      </c>
      <c r="M45" s="66">
        <v>0.0</v>
      </c>
      <c r="N45" s="97">
        <v>0.0</v>
      </c>
      <c r="O45" s="13">
        <f t="shared" ref="O45:O71" si="3">MAX(0,L45-M45)</f>
        <v>0</v>
      </c>
      <c r="P45" s="98">
        <f>IF(F45="Yes",L45*I45,0)</f>
        <v>0</v>
      </c>
      <c r="Q45" s="13" t="s">
        <v>192</v>
      </c>
      <c r="R45" s="13" t="s">
        <v>194</v>
      </c>
    </row>
    <row r="46" ht="18.75" customHeight="1">
      <c r="D46" s="13" t="s">
        <v>195</v>
      </c>
      <c r="E46" s="13" t="s">
        <v>196</v>
      </c>
      <c r="F46" s="13" t="s">
        <v>198</v>
      </c>
      <c r="G46" s="94"/>
      <c r="H46" s="94">
        <v>25.0</v>
      </c>
      <c r="I46" s="95">
        <f t="shared" si="1"/>
        <v>25</v>
      </c>
      <c r="J46" s="13" t="str">
        <f t="shared" si="2"/>
        <v>Official / estimate</v>
      </c>
      <c r="K46" s="13" t="s">
        <v>72</v>
      </c>
      <c r="L46" s="66">
        <v>0.0</v>
      </c>
      <c r="M46" s="66">
        <v>0.0</v>
      </c>
      <c r="N46" s="97">
        <v>0.0</v>
      </c>
      <c r="O46" s="13">
        <f t="shared" si="3"/>
        <v>0</v>
      </c>
      <c r="P46" s="98">
        <f>IF(F46="Yes",I46,0)</f>
        <v>25</v>
      </c>
      <c r="Q46" s="13" t="s">
        <v>201</v>
      </c>
      <c r="R46" s="13" t="s">
        <v>202</v>
      </c>
    </row>
    <row r="47" ht="18.75" customHeight="1">
      <c r="D47" s="13" t="s">
        <v>195</v>
      </c>
      <c r="E47" s="13" t="s">
        <v>203</v>
      </c>
      <c r="F47" s="13" t="s">
        <v>198</v>
      </c>
      <c r="G47" s="94"/>
      <c r="H47" s="94">
        <v>0.00325</v>
      </c>
      <c r="I47" s="95">
        <f t="shared" si="1"/>
        <v>0.00325</v>
      </c>
      <c r="J47" s="13" t="str">
        <f t="shared" si="2"/>
        <v>Official / estimate</v>
      </c>
      <c r="K47" s="13" t="s">
        <v>204</v>
      </c>
      <c r="L47" s="66">
        <v>120000.0</v>
      </c>
      <c r="M47" s="66">
        <v>100000.0</v>
      </c>
      <c r="N47" s="97">
        <v>0.00325</v>
      </c>
      <c r="O47" s="13">
        <f t="shared" si="3"/>
        <v>20000</v>
      </c>
      <c r="P47" s="98">
        <f t="shared" ref="P47:P55" si="4">IF(F47="Yes",O47*N47,0)</f>
        <v>65</v>
      </c>
      <c r="Q47" s="13" t="s">
        <v>205</v>
      </c>
      <c r="R47" s="13" t="s">
        <v>206</v>
      </c>
    </row>
    <row r="48" ht="18.75" customHeight="1">
      <c r="D48" s="13" t="s">
        <v>195</v>
      </c>
      <c r="E48" s="13" t="s">
        <v>207</v>
      </c>
      <c r="F48" s="13" t="s">
        <v>198</v>
      </c>
      <c r="G48" s="94"/>
      <c r="H48" s="94">
        <v>0.125</v>
      </c>
      <c r="I48" s="95">
        <f t="shared" si="1"/>
        <v>0.125</v>
      </c>
      <c r="J48" s="13" t="str">
        <f t="shared" si="2"/>
        <v>Official / estimate</v>
      </c>
      <c r="K48" s="13" t="s">
        <v>208</v>
      </c>
      <c r="L48" s="66">
        <v>8.0</v>
      </c>
      <c r="M48" s="66">
        <v>8.0</v>
      </c>
      <c r="N48" s="97">
        <v>0.125</v>
      </c>
      <c r="O48" s="13">
        <f t="shared" si="3"/>
        <v>0</v>
      </c>
      <c r="P48" s="98">
        <f t="shared" si="4"/>
        <v>0</v>
      </c>
      <c r="Q48" s="13" t="s">
        <v>201</v>
      </c>
      <c r="R48" s="13" t="s">
        <v>209</v>
      </c>
    </row>
    <row r="49" ht="18.75" customHeight="1">
      <c r="D49" s="13" t="s">
        <v>195</v>
      </c>
      <c r="E49" s="13" t="s">
        <v>210</v>
      </c>
      <c r="F49" s="13" t="s">
        <v>198</v>
      </c>
      <c r="G49" s="94"/>
      <c r="H49" s="94">
        <v>0.0213</v>
      </c>
      <c r="I49" s="95">
        <f t="shared" si="1"/>
        <v>0.0213</v>
      </c>
      <c r="J49" s="13" t="str">
        <f t="shared" si="2"/>
        <v>Official / estimate</v>
      </c>
      <c r="K49" s="13" t="s">
        <v>208</v>
      </c>
      <c r="L49" s="66">
        <v>10.0</v>
      </c>
      <c r="M49" s="66">
        <v>100.0</v>
      </c>
      <c r="N49" s="97">
        <v>0.0213</v>
      </c>
      <c r="O49" s="13">
        <f t="shared" si="3"/>
        <v>0</v>
      </c>
      <c r="P49" s="98">
        <f t="shared" si="4"/>
        <v>0</v>
      </c>
      <c r="Q49" s="13" t="s">
        <v>201</v>
      </c>
      <c r="R49" s="13" t="s">
        <v>212</v>
      </c>
    </row>
    <row r="50" ht="18.75" customHeight="1">
      <c r="D50" s="13" t="s">
        <v>195</v>
      </c>
      <c r="E50" s="13" t="s">
        <v>213</v>
      </c>
      <c r="F50" s="13" t="s">
        <v>198</v>
      </c>
      <c r="G50" s="94"/>
      <c r="H50" s="94">
        <v>0.09</v>
      </c>
      <c r="I50" s="95">
        <f t="shared" si="1"/>
        <v>0.09</v>
      </c>
      <c r="J50" s="13" t="str">
        <f t="shared" si="2"/>
        <v>Official / estimate</v>
      </c>
      <c r="K50" s="13" t="s">
        <v>214</v>
      </c>
      <c r="L50" s="66">
        <v>50.0</v>
      </c>
      <c r="M50" s="66">
        <v>250.0</v>
      </c>
      <c r="N50" s="97">
        <v>0.09</v>
      </c>
      <c r="O50" s="13">
        <f t="shared" si="3"/>
        <v>0</v>
      </c>
      <c r="P50" s="98">
        <f t="shared" si="4"/>
        <v>0</v>
      </c>
      <c r="Q50" s="13" t="s">
        <v>201</v>
      </c>
      <c r="R50" s="13" t="s">
        <v>216</v>
      </c>
    </row>
    <row r="51" ht="18.75" customHeight="1">
      <c r="D51" s="13" t="s">
        <v>195</v>
      </c>
      <c r="E51" s="13" t="s">
        <v>217</v>
      </c>
      <c r="F51" s="13" t="s">
        <v>198</v>
      </c>
      <c r="G51" s="94"/>
      <c r="H51" s="94">
        <v>0.03</v>
      </c>
      <c r="I51" s="95">
        <f t="shared" si="1"/>
        <v>0.03</v>
      </c>
      <c r="J51" s="13" t="str">
        <f t="shared" si="2"/>
        <v>Official / estimate</v>
      </c>
      <c r="K51" s="13" t="s">
        <v>214</v>
      </c>
      <c r="L51" s="66">
        <v>50.0</v>
      </c>
      <c r="M51" s="66">
        <v>250.0</v>
      </c>
      <c r="N51" s="97">
        <v>0.03</v>
      </c>
      <c r="O51" s="13">
        <f t="shared" si="3"/>
        <v>0</v>
      </c>
      <c r="P51" s="98">
        <f t="shared" si="4"/>
        <v>0</v>
      </c>
      <c r="Q51" s="13" t="s">
        <v>201</v>
      </c>
      <c r="R51" s="13" t="s">
        <v>218</v>
      </c>
    </row>
    <row r="52" ht="18.75" customHeight="1">
      <c r="D52" s="13" t="s">
        <v>195</v>
      </c>
      <c r="E52" s="13" t="s">
        <v>219</v>
      </c>
      <c r="F52" s="13" t="s">
        <v>198</v>
      </c>
      <c r="G52" s="94"/>
      <c r="H52" s="94">
        <v>2.0E-6</v>
      </c>
      <c r="I52" s="95">
        <f t="shared" si="1"/>
        <v>0.000002</v>
      </c>
      <c r="J52" s="13" t="str">
        <f t="shared" si="2"/>
        <v>Official / estimate</v>
      </c>
      <c r="K52" s="13" t="s">
        <v>220</v>
      </c>
      <c r="L52" s="66">
        <v>1000000.0</v>
      </c>
      <c r="M52" s="66">
        <v>2000000.0</v>
      </c>
      <c r="N52" s="97">
        <v>2.0E-6</v>
      </c>
      <c r="O52" s="13">
        <f t="shared" si="3"/>
        <v>0</v>
      </c>
      <c r="P52" s="98">
        <f t="shared" si="4"/>
        <v>0</v>
      </c>
      <c r="Q52" s="13" t="s">
        <v>201</v>
      </c>
      <c r="R52" s="13" t="s">
        <v>222</v>
      </c>
    </row>
    <row r="53" ht="18.75" customHeight="1">
      <c r="D53" s="13" t="s">
        <v>195</v>
      </c>
      <c r="E53" s="13" t="s">
        <v>223</v>
      </c>
      <c r="F53" s="13" t="s">
        <v>198</v>
      </c>
      <c r="G53" s="94"/>
      <c r="H53" s="94">
        <v>0.0</v>
      </c>
      <c r="I53" s="95">
        <f t="shared" si="1"/>
        <v>0</v>
      </c>
      <c r="J53" s="13" t="str">
        <f t="shared" si="2"/>
        <v>Official / estimate</v>
      </c>
      <c r="K53" s="13" t="s">
        <v>224</v>
      </c>
      <c r="L53" s="66">
        <v>0.0</v>
      </c>
      <c r="M53" s="66">
        <v>0.0</v>
      </c>
      <c r="N53" s="97">
        <v>0.0</v>
      </c>
      <c r="O53" s="13">
        <f t="shared" si="3"/>
        <v>0</v>
      </c>
      <c r="P53" s="98">
        <f t="shared" si="4"/>
        <v>0</v>
      </c>
      <c r="Q53" s="13" t="s">
        <v>201</v>
      </c>
      <c r="R53" s="13" t="s">
        <v>225</v>
      </c>
    </row>
    <row r="54" ht="18.75" customHeight="1">
      <c r="D54" s="13" t="s">
        <v>195</v>
      </c>
      <c r="E54" s="13" t="s">
        <v>226</v>
      </c>
      <c r="F54" s="13" t="s">
        <v>198</v>
      </c>
      <c r="G54" s="94"/>
      <c r="H54" s="94">
        <v>0.0</v>
      </c>
      <c r="I54" s="95">
        <f t="shared" si="1"/>
        <v>0</v>
      </c>
      <c r="J54" s="13" t="str">
        <f t="shared" si="2"/>
        <v>Official / estimate</v>
      </c>
      <c r="K54" s="13" t="s">
        <v>227</v>
      </c>
      <c r="L54" s="66">
        <v>0.0</v>
      </c>
      <c r="M54" s="66">
        <v>0.0</v>
      </c>
      <c r="N54" s="97">
        <v>0.0</v>
      </c>
      <c r="O54" s="13">
        <f t="shared" si="3"/>
        <v>0</v>
      </c>
      <c r="P54" s="98">
        <f t="shared" si="4"/>
        <v>0</v>
      </c>
      <c r="Q54" s="13" t="s">
        <v>205</v>
      </c>
      <c r="R54" s="13" t="s">
        <v>228</v>
      </c>
    </row>
    <row r="55" ht="18.75" customHeight="1">
      <c r="D55" s="13" t="s">
        <v>195</v>
      </c>
      <c r="E55" s="13" t="s">
        <v>229</v>
      </c>
      <c r="F55" s="13" t="s">
        <v>198</v>
      </c>
      <c r="G55" s="94"/>
      <c r="H55" s="94">
        <v>0.0</v>
      </c>
      <c r="I55" s="95">
        <f t="shared" si="1"/>
        <v>0</v>
      </c>
      <c r="J55" s="13" t="str">
        <f t="shared" si="2"/>
        <v>Official / estimate</v>
      </c>
      <c r="K55" s="13" t="s">
        <v>230</v>
      </c>
      <c r="L55" s="66">
        <v>0.0</v>
      </c>
      <c r="M55" s="66">
        <v>0.0</v>
      </c>
      <c r="N55" s="97">
        <v>0.0</v>
      </c>
      <c r="O55" s="13">
        <f t="shared" si="3"/>
        <v>0</v>
      </c>
      <c r="P55" s="98">
        <f t="shared" si="4"/>
        <v>0</v>
      </c>
      <c r="Q55" s="13" t="s">
        <v>201</v>
      </c>
      <c r="R55" s="13" t="s">
        <v>231</v>
      </c>
    </row>
    <row r="56" ht="18.75" customHeight="1">
      <c r="D56" s="13" t="s">
        <v>232</v>
      </c>
      <c r="E56" s="13" t="s">
        <v>196</v>
      </c>
      <c r="F56" s="13" t="s">
        <v>198</v>
      </c>
      <c r="G56" s="94"/>
      <c r="H56" s="94">
        <v>20.0</v>
      </c>
      <c r="I56" s="95">
        <f t="shared" si="1"/>
        <v>20</v>
      </c>
      <c r="J56" s="13" t="str">
        <f t="shared" si="2"/>
        <v>Official / estimate</v>
      </c>
      <c r="K56" s="13" t="s">
        <v>72</v>
      </c>
      <c r="L56" s="66">
        <v>0.0</v>
      </c>
      <c r="M56" s="66">
        <v>0.0</v>
      </c>
      <c r="N56" s="97">
        <v>0.0</v>
      </c>
      <c r="O56" s="13">
        <f t="shared" si="3"/>
        <v>0</v>
      </c>
      <c r="P56" s="98">
        <f>IF(F56="Yes",I56,0)</f>
        <v>20</v>
      </c>
      <c r="Q56" s="13" t="s">
        <v>233</v>
      </c>
      <c r="R56" s="13" t="s">
        <v>234</v>
      </c>
    </row>
    <row r="57" ht="18.75" customHeight="1">
      <c r="D57" s="13" t="s">
        <v>232</v>
      </c>
      <c r="E57" s="13" t="s">
        <v>235</v>
      </c>
      <c r="F57" s="13" t="s">
        <v>198</v>
      </c>
      <c r="G57" s="94"/>
      <c r="H57" s="94">
        <v>0.15</v>
      </c>
      <c r="I57" s="95">
        <f t="shared" si="1"/>
        <v>0.15</v>
      </c>
      <c r="J57" s="13" t="str">
        <f t="shared" si="2"/>
        <v>Official / estimate</v>
      </c>
      <c r="K57" s="13" t="s">
        <v>214</v>
      </c>
      <c r="L57" s="66">
        <v>200.0</v>
      </c>
      <c r="M57" s="66">
        <v>1024.0</v>
      </c>
      <c r="N57" s="97">
        <v>0.15</v>
      </c>
      <c r="O57" s="13">
        <f t="shared" si="3"/>
        <v>0</v>
      </c>
      <c r="P57" s="98">
        <f t="shared" ref="P57:P62" si="5">IF(F57="Yes",O57*N57,0)</f>
        <v>0</v>
      </c>
      <c r="Q57" s="13" t="s">
        <v>236</v>
      </c>
      <c r="R57" s="13" t="s">
        <v>238</v>
      </c>
    </row>
    <row r="58" ht="18.75" customHeight="1">
      <c r="D58" s="13" t="s">
        <v>232</v>
      </c>
      <c r="E58" s="13" t="s">
        <v>239</v>
      </c>
      <c r="F58" s="13" t="s">
        <v>198</v>
      </c>
      <c r="G58" s="94"/>
      <c r="H58" s="94">
        <v>2.0E-6</v>
      </c>
      <c r="I58" s="95">
        <f t="shared" si="1"/>
        <v>0.000002</v>
      </c>
      <c r="J58" s="13" t="str">
        <f t="shared" si="2"/>
        <v>Official / estimate</v>
      </c>
      <c r="K58" s="13" t="s">
        <v>240</v>
      </c>
      <c r="L58" s="66">
        <v>2000000.0</v>
      </c>
      <c r="M58" s="66">
        <v>1.0E7</v>
      </c>
      <c r="N58" s="97">
        <v>2.0E-6</v>
      </c>
      <c r="O58" s="13">
        <f t="shared" si="3"/>
        <v>0</v>
      </c>
      <c r="P58" s="98">
        <f t="shared" si="5"/>
        <v>0</v>
      </c>
      <c r="Q58" s="13" t="s">
        <v>236</v>
      </c>
      <c r="R58" s="13" t="s">
        <v>242</v>
      </c>
    </row>
    <row r="59" ht="18.75" customHeight="1">
      <c r="D59" s="13" t="s">
        <v>232</v>
      </c>
      <c r="E59" s="13" t="s">
        <v>243</v>
      </c>
      <c r="F59" s="13" t="s">
        <v>198</v>
      </c>
      <c r="G59" s="94"/>
      <c r="H59" s="94">
        <v>6.0E-7</v>
      </c>
      <c r="I59" s="95">
        <f t="shared" si="1"/>
        <v>0.0000006</v>
      </c>
      <c r="J59" s="13" t="str">
        <f t="shared" si="2"/>
        <v>Official / estimate</v>
      </c>
      <c r="K59" s="13" t="s">
        <v>220</v>
      </c>
      <c r="L59" s="66">
        <v>500000.0</v>
      </c>
      <c r="M59" s="66">
        <v>1000000.0</v>
      </c>
      <c r="N59" s="97">
        <v>6.0E-7</v>
      </c>
      <c r="O59" s="13">
        <f t="shared" si="3"/>
        <v>0</v>
      </c>
      <c r="P59" s="98">
        <f t="shared" si="5"/>
        <v>0</v>
      </c>
      <c r="Q59" s="13" t="s">
        <v>236</v>
      </c>
      <c r="R59" s="13" t="s">
        <v>244</v>
      </c>
    </row>
    <row r="60" ht="18.75" customHeight="1">
      <c r="D60" s="13" t="s">
        <v>232</v>
      </c>
      <c r="E60" s="13" t="s">
        <v>245</v>
      </c>
      <c r="F60" s="13" t="s">
        <v>198</v>
      </c>
      <c r="G60" s="94"/>
      <c r="H60" s="94">
        <v>5.0E-5</v>
      </c>
      <c r="I60" s="95">
        <f t="shared" si="1"/>
        <v>0.00005</v>
      </c>
      <c r="J60" s="13" t="str">
        <f t="shared" si="2"/>
        <v>Official / estimate</v>
      </c>
      <c r="K60" s="13" t="s">
        <v>246</v>
      </c>
      <c r="L60" s="66">
        <v>0.0</v>
      </c>
      <c r="M60" s="66">
        <v>5000.0</v>
      </c>
      <c r="N60" s="97">
        <v>5.0E-5</v>
      </c>
      <c r="O60" s="13">
        <f t="shared" si="3"/>
        <v>0</v>
      </c>
      <c r="P60" s="98">
        <f t="shared" si="5"/>
        <v>0</v>
      </c>
      <c r="Q60" s="13" t="s">
        <v>236</v>
      </c>
      <c r="R60" s="13" t="s">
        <v>247</v>
      </c>
    </row>
    <row r="61" ht="18.75" customHeight="1">
      <c r="D61" s="13" t="s">
        <v>232</v>
      </c>
      <c r="E61" s="13" t="s">
        <v>248</v>
      </c>
      <c r="F61" s="13" t="s">
        <v>198</v>
      </c>
      <c r="G61" s="94"/>
      <c r="H61" s="94">
        <v>0.0</v>
      </c>
      <c r="I61" s="95">
        <f t="shared" si="1"/>
        <v>0</v>
      </c>
      <c r="J61" s="13" t="str">
        <f t="shared" si="2"/>
        <v>Official / estimate</v>
      </c>
      <c r="K61" s="13" t="s">
        <v>249</v>
      </c>
      <c r="L61" s="66">
        <v>0.0</v>
      </c>
      <c r="M61" s="66">
        <v>0.0</v>
      </c>
      <c r="N61" s="97">
        <v>0.0</v>
      </c>
      <c r="O61" s="13">
        <f t="shared" si="3"/>
        <v>0</v>
      </c>
      <c r="P61" s="98">
        <f t="shared" si="5"/>
        <v>0</v>
      </c>
      <c r="Q61" s="13" t="s">
        <v>233</v>
      </c>
      <c r="R61" s="13" t="s">
        <v>250</v>
      </c>
    </row>
    <row r="62" ht="18.75" customHeight="1">
      <c r="D62" s="13" t="s">
        <v>232</v>
      </c>
      <c r="E62" s="13" t="s">
        <v>251</v>
      </c>
      <c r="F62" s="13" t="s">
        <v>198</v>
      </c>
      <c r="G62" s="94"/>
      <c r="H62" s="94">
        <v>0.0</v>
      </c>
      <c r="I62" s="95">
        <f t="shared" si="1"/>
        <v>0</v>
      </c>
      <c r="J62" s="13" t="str">
        <f t="shared" si="2"/>
        <v>Official / estimate</v>
      </c>
      <c r="K62" s="13" t="s">
        <v>249</v>
      </c>
      <c r="L62" s="66">
        <v>0.0</v>
      </c>
      <c r="M62" s="66">
        <v>0.0</v>
      </c>
      <c r="N62" s="97">
        <v>0.0</v>
      </c>
      <c r="O62" s="13">
        <f t="shared" si="3"/>
        <v>0</v>
      </c>
      <c r="P62" s="98">
        <f t="shared" si="5"/>
        <v>0</v>
      </c>
      <c r="Q62" s="13" t="s">
        <v>233</v>
      </c>
      <c r="R62" s="13" t="s">
        <v>250</v>
      </c>
    </row>
    <row r="63" ht="18.75" customHeight="1">
      <c r="D63" s="13" t="s">
        <v>253</v>
      </c>
      <c r="E63" s="13" t="s">
        <v>254</v>
      </c>
      <c r="F63" s="13" t="s">
        <v>198</v>
      </c>
      <c r="G63" s="94">
        <v>13.68</v>
      </c>
      <c r="H63" s="94">
        <v>18.58</v>
      </c>
      <c r="I63" s="95">
        <f>IF($E$2&lt;=DATE(2026,12,30),G63,H63)</f>
        <v>13.68</v>
      </c>
      <c r="J63" s="13" t="str">
        <f>IF($E$2&lt;=DATE(2026,12,30),"Actual current term","Official renewal")</f>
        <v>Actual current term</v>
      </c>
      <c r="K63" s="13" t="s">
        <v>79</v>
      </c>
      <c r="L63" s="66">
        <v>0.0</v>
      </c>
      <c r="M63" s="66">
        <v>0.0</v>
      </c>
      <c r="N63" s="97">
        <v>0.0</v>
      </c>
      <c r="O63" s="13">
        <f t="shared" si="3"/>
        <v>0</v>
      </c>
      <c r="P63" s="98">
        <f>IF(F63="Yes",I63/12,0)</f>
        <v>1.14</v>
      </c>
      <c r="Q63" s="13" t="s">
        <v>262</v>
      </c>
      <c r="R63" s="13" t="s">
        <v>263</v>
      </c>
    </row>
    <row r="64" ht="18.75" customHeight="1">
      <c r="D64" s="13" t="s">
        <v>264</v>
      </c>
      <c r="E64" s="13" t="s">
        <v>265</v>
      </c>
      <c r="F64" s="13" t="s">
        <v>198</v>
      </c>
      <c r="G64" s="94"/>
      <c r="H64" s="94">
        <v>20.0</v>
      </c>
      <c r="I64" s="95">
        <f t="shared" ref="I64:I71" si="6">IF(ISNUMBER(G64),G64,H64)</f>
        <v>20</v>
      </c>
      <c r="J64" s="13" t="str">
        <f t="shared" ref="J64:J71" si="7">IF(ISNUMBER(G64),"Actual","Official / estimate")</f>
        <v>Official / estimate</v>
      </c>
      <c r="K64" s="13" t="s">
        <v>72</v>
      </c>
      <c r="L64" s="66">
        <v>0.0</v>
      </c>
      <c r="M64" s="66">
        <v>0.0</v>
      </c>
      <c r="N64" s="97">
        <v>0.0</v>
      </c>
      <c r="O64" s="13">
        <f t="shared" si="3"/>
        <v>0</v>
      </c>
      <c r="P64" s="98">
        <f t="shared" ref="P64:P67" si="8">IF(F64="Yes",I64,0)</f>
        <v>20</v>
      </c>
      <c r="Q64" s="13" t="s">
        <v>266</v>
      </c>
      <c r="R64" s="13" t="s">
        <v>267</v>
      </c>
    </row>
    <row r="65" ht="18.75" customHeight="1">
      <c r="D65" s="13" t="s">
        <v>268</v>
      </c>
      <c r="E65" s="13" t="s">
        <v>270</v>
      </c>
      <c r="F65" s="13" t="s">
        <v>198</v>
      </c>
      <c r="G65" s="94"/>
      <c r="H65" s="94">
        <v>20.0</v>
      </c>
      <c r="I65" s="95">
        <f t="shared" si="6"/>
        <v>20</v>
      </c>
      <c r="J65" s="13" t="str">
        <f t="shared" si="7"/>
        <v>Official / estimate</v>
      </c>
      <c r="K65" s="13" t="s">
        <v>72</v>
      </c>
      <c r="L65" s="66">
        <v>0.0</v>
      </c>
      <c r="M65" s="66">
        <v>0.0</v>
      </c>
      <c r="N65" s="97">
        <v>0.0</v>
      </c>
      <c r="O65" s="13">
        <f t="shared" si="3"/>
        <v>0</v>
      </c>
      <c r="P65" s="98">
        <f t="shared" si="8"/>
        <v>20</v>
      </c>
      <c r="Q65" s="13" t="s">
        <v>271</v>
      </c>
      <c r="R65" s="13" t="s">
        <v>272</v>
      </c>
    </row>
    <row r="66" ht="18.75" customHeight="1">
      <c r="D66" s="13" t="s">
        <v>273</v>
      </c>
      <c r="E66" s="13" t="s">
        <v>274</v>
      </c>
      <c r="F66" s="13" t="s">
        <v>186</v>
      </c>
      <c r="G66" s="94"/>
      <c r="H66" s="94">
        <v>0.0</v>
      </c>
      <c r="I66" s="95">
        <f t="shared" si="6"/>
        <v>0</v>
      </c>
      <c r="J66" s="13" t="str">
        <f t="shared" si="7"/>
        <v>Official / estimate</v>
      </c>
      <c r="K66" s="13" t="s">
        <v>275</v>
      </c>
      <c r="L66" s="66">
        <v>0.0</v>
      </c>
      <c r="M66" s="66">
        <v>0.0</v>
      </c>
      <c r="N66" s="97">
        <v>0.0</v>
      </c>
      <c r="O66" s="13">
        <f t="shared" si="3"/>
        <v>0</v>
      </c>
      <c r="P66" s="98">
        <f t="shared" si="8"/>
        <v>0</v>
      </c>
      <c r="Q66" s="13" t="s">
        <v>31</v>
      </c>
      <c r="R66" s="13" t="s">
        <v>276</v>
      </c>
    </row>
    <row r="67" ht="18.75" customHeight="1">
      <c r="D67" s="13" t="s">
        <v>277</v>
      </c>
      <c r="E67" s="13" t="s">
        <v>278</v>
      </c>
      <c r="F67" s="13" t="s">
        <v>186</v>
      </c>
      <c r="G67" s="94"/>
      <c r="H67" s="94">
        <v>0.0</v>
      </c>
      <c r="I67" s="95">
        <f t="shared" si="6"/>
        <v>0</v>
      </c>
      <c r="J67" s="13" t="str">
        <f t="shared" si="7"/>
        <v>Official / estimate</v>
      </c>
      <c r="K67" s="13" t="s">
        <v>275</v>
      </c>
      <c r="L67" s="66">
        <v>0.0</v>
      </c>
      <c r="M67" s="66">
        <v>0.0</v>
      </c>
      <c r="N67" s="97">
        <v>0.0</v>
      </c>
      <c r="O67" s="13">
        <f t="shared" si="3"/>
        <v>0</v>
      </c>
      <c r="P67" s="98">
        <f t="shared" si="8"/>
        <v>0</v>
      </c>
      <c r="Q67" s="13" t="s">
        <v>31</v>
      </c>
      <c r="R67" s="13" t="s">
        <v>279</v>
      </c>
    </row>
    <row r="68" ht="18.75" customHeight="1">
      <c r="D68" s="13" t="s">
        <v>280</v>
      </c>
      <c r="E68" s="13" t="s">
        <v>281</v>
      </c>
      <c r="F68" s="13" t="s">
        <v>186</v>
      </c>
      <c r="G68" s="94"/>
      <c r="H68" s="94">
        <v>0.004</v>
      </c>
      <c r="I68" s="95">
        <f t="shared" si="6"/>
        <v>0.004</v>
      </c>
      <c r="J68" s="13" t="str">
        <f t="shared" si="7"/>
        <v>Official / estimate</v>
      </c>
      <c r="K68" s="13" t="s">
        <v>282</v>
      </c>
      <c r="L68" s="66">
        <v>0.0</v>
      </c>
      <c r="M68" s="66">
        <v>0.0</v>
      </c>
      <c r="N68" s="97">
        <v>0.0</v>
      </c>
      <c r="O68" s="13">
        <f t="shared" si="3"/>
        <v>0</v>
      </c>
      <c r="P68" s="98">
        <f t="shared" ref="P68:P70" si="9">IF(F68="Yes",O68*N68,0)</f>
        <v>0</v>
      </c>
      <c r="Q68" s="13" t="s">
        <v>139</v>
      </c>
      <c r="R68" s="13" t="s">
        <v>284</v>
      </c>
    </row>
    <row r="69" ht="18.75" customHeight="1">
      <c r="D69" s="13" t="s">
        <v>285</v>
      </c>
      <c r="E69" s="13" t="s">
        <v>286</v>
      </c>
      <c r="F69" s="13" t="s">
        <v>186</v>
      </c>
      <c r="G69" s="94"/>
      <c r="H69" s="94">
        <v>0.0015</v>
      </c>
      <c r="I69" s="95">
        <f t="shared" si="6"/>
        <v>0.0015</v>
      </c>
      <c r="J69" s="13" t="str">
        <f t="shared" si="7"/>
        <v>Official / estimate</v>
      </c>
      <c r="K69" s="13" t="s">
        <v>282</v>
      </c>
      <c r="L69" s="66">
        <v>0.0</v>
      </c>
      <c r="M69" s="66">
        <v>0.0</v>
      </c>
      <c r="N69" s="97">
        <v>0.0</v>
      </c>
      <c r="O69" s="13">
        <f t="shared" si="3"/>
        <v>0</v>
      </c>
      <c r="P69" s="98">
        <f t="shared" si="9"/>
        <v>0</v>
      </c>
      <c r="Q69" s="13" t="s">
        <v>143</v>
      </c>
      <c r="R69" s="13" t="s">
        <v>287</v>
      </c>
    </row>
    <row r="70" ht="18.75" customHeight="1">
      <c r="D70" s="13" t="s">
        <v>264</v>
      </c>
      <c r="E70" s="13" t="s">
        <v>288</v>
      </c>
      <c r="F70" s="13" t="s">
        <v>186</v>
      </c>
      <c r="G70" s="94"/>
      <c r="H70" s="94">
        <v>0.0</v>
      </c>
      <c r="I70" s="95">
        <f t="shared" si="6"/>
        <v>0</v>
      </c>
      <c r="J70" s="13" t="str">
        <f t="shared" si="7"/>
        <v>Official / estimate</v>
      </c>
      <c r="K70" s="13" t="s">
        <v>289</v>
      </c>
      <c r="L70" s="66">
        <v>0.0</v>
      </c>
      <c r="M70" s="66">
        <v>0.0</v>
      </c>
      <c r="N70" s="97">
        <v>0.0</v>
      </c>
      <c r="O70" s="13">
        <f t="shared" si="3"/>
        <v>0</v>
      </c>
      <c r="P70" s="98">
        <f t="shared" si="9"/>
        <v>0</v>
      </c>
      <c r="Q70" s="13" t="s">
        <v>148</v>
      </c>
      <c r="R70" s="13" t="s">
        <v>290</v>
      </c>
    </row>
    <row r="71" ht="18.75" customHeight="1">
      <c r="D71" s="13" t="s">
        <v>291</v>
      </c>
      <c r="E71" s="13" t="s">
        <v>292</v>
      </c>
      <c r="F71" s="13" t="s">
        <v>186</v>
      </c>
      <c r="G71" s="94"/>
      <c r="H71" s="94">
        <v>0.0</v>
      </c>
      <c r="I71" s="95">
        <f t="shared" si="6"/>
        <v>0</v>
      </c>
      <c r="J71" s="13" t="str">
        <f t="shared" si="7"/>
        <v>Official / estimate</v>
      </c>
      <c r="K71" s="13" t="s">
        <v>72</v>
      </c>
      <c r="L71" s="66">
        <v>0.0</v>
      </c>
      <c r="M71" s="66">
        <v>0.0</v>
      </c>
      <c r="N71" s="97">
        <v>0.0</v>
      </c>
      <c r="O71" s="13">
        <f t="shared" si="3"/>
        <v>0</v>
      </c>
      <c r="P71" s="98">
        <f>IF(F71="Yes",I71,0)</f>
        <v>0</v>
      </c>
      <c r="Q71" s="13" t="s">
        <v>31</v>
      </c>
      <c r="R71" s="13" t="s">
        <v>293</v>
      </c>
    </row>
    <row r="72" ht="18.75" customHeight="1"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98"/>
      <c r="Q72" s="13"/>
      <c r="R72" s="13"/>
    </row>
    <row r="73" ht="18.75" customHeight="1">
      <c r="D73" s="82" t="s">
        <v>295</v>
      </c>
      <c r="E73" s="126">
        <f>SUM(P45:P71)</f>
        <v>151.14</v>
      </c>
      <c r="F73" s="13"/>
      <c r="G73" s="13" t="s">
        <v>296</v>
      </c>
      <c r="H73" s="13"/>
      <c r="I73" s="13"/>
      <c r="J73" s="13"/>
      <c r="K73" s="13"/>
      <c r="L73" s="13"/>
      <c r="M73" s="13"/>
      <c r="N73" s="13"/>
      <c r="O73" s="13"/>
      <c r="P73" s="98"/>
      <c r="Q73" s="13"/>
      <c r="R73" s="13"/>
    </row>
    <row r="74" ht="18.75" customHeight="1"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 ht="18.75" customHeight="1">
      <c r="D75" s="27" t="s">
        <v>297</v>
      </c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</row>
    <row r="76" ht="18.75" customHeight="1">
      <c r="D76" s="31" t="s">
        <v>25</v>
      </c>
      <c r="E76" s="31" t="s">
        <v>299</v>
      </c>
      <c r="F76" s="31" t="s">
        <v>24</v>
      </c>
      <c r="G76" s="31" t="s">
        <v>14</v>
      </c>
      <c r="H76" s="31" t="s">
        <v>301</v>
      </c>
      <c r="I76" s="31" t="s">
        <v>26</v>
      </c>
      <c r="J76" s="13"/>
      <c r="K76" s="13"/>
      <c r="L76" s="13"/>
      <c r="M76" s="13"/>
      <c r="N76" s="13"/>
      <c r="O76" s="13"/>
      <c r="P76" s="13"/>
      <c r="Q76" s="13"/>
      <c r="R76" s="13"/>
    </row>
    <row r="77" ht="18.75" customHeight="1">
      <c r="D77" s="13" t="s">
        <v>54</v>
      </c>
      <c r="E77" s="13" t="s">
        <v>302</v>
      </c>
      <c r="F77" s="13" t="s">
        <v>53</v>
      </c>
      <c r="G77" s="15">
        <v>46235.0</v>
      </c>
      <c r="H77" s="13" t="s">
        <v>304</v>
      </c>
      <c r="I77" s="13" t="s">
        <v>305</v>
      </c>
      <c r="J77" s="13"/>
      <c r="K77" s="13"/>
      <c r="L77" s="13"/>
      <c r="M77" s="13"/>
      <c r="N77" s="13"/>
      <c r="O77" s="13"/>
      <c r="P77" s="13"/>
      <c r="Q77" s="13"/>
      <c r="R77" s="13"/>
    </row>
    <row r="78" ht="18.75" customHeight="1">
      <c r="D78" s="13" t="s">
        <v>192</v>
      </c>
      <c r="E78" s="13" t="s">
        <v>306</v>
      </c>
      <c r="F78" s="13" t="s">
        <v>53</v>
      </c>
      <c r="G78" s="15">
        <v>46235.0</v>
      </c>
      <c r="H78" s="13" t="s">
        <v>307</v>
      </c>
      <c r="I78" s="13" t="s">
        <v>308</v>
      </c>
      <c r="J78" s="13"/>
      <c r="K78" s="13"/>
      <c r="L78" s="13"/>
      <c r="M78" s="13"/>
      <c r="N78" s="13"/>
      <c r="O78" s="13"/>
      <c r="P78" s="13"/>
      <c r="Q78" s="13"/>
      <c r="R78" s="13"/>
    </row>
    <row r="79" ht="18.75" customHeight="1">
      <c r="D79" s="13" t="s">
        <v>310</v>
      </c>
      <c r="E79" s="13" t="s">
        <v>311</v>
      </c>
      <c r="F79" s="13" t="s">
        <v>312</v>
      </c>
      <c r="G79" s="15">
        <v>46235.0</v>
      </c>
      <c r="H79" s="13" t="s">
        <v>313</v>
      </c>
      <c r="I79" s="13" t="s">
        <v>314</v>
      </c>
      <c r="J79" s="13"/>
      <c r="K79" s="13"/>
      <c r="L79" s="13"/>
      <c r="M79" s="13"/>
      <c r="N79" s="13"/>
      <c r="O79" s="13"/>
      <c r="P79" s="13"/>
      <c r="Q79" s="13"/>
      <c r="R79" s="13"/>
    </row>
    <row r="80" ht="18.75" customHeight="1">
      <c r="D80" s="13" t="s">
        <v>65</v>
      </c>
      <c r="E80" s="13" t="s">
        <v>315</v>
      </c>
      <c r="F80" s="13" t="s">
        <v>53</v>
      </c>
      <c r="G80" s="15">
        <v>46235.0</v>
      </c>
      <c r="H80" s="13" t="s">
        <v>304</v>
      </c>
      <c r="I80" s="13" t="s">
        <v>316</v>
      </c>
      <c r="J80" s="13"/>
      <c r="K80" s="13"/>
      <c r="L80" s="13"/>
      <c r="M80" s="13"/>
      <c r="N80" s="13"/>
      <c r="O80" s="13"/>
      <c r="P80" s="13"/>
      <c r="Q80" s="13"/>
      <c r="R80" s="13"/>
    </row>
    <row r="81" ht="18.75" customHeight="1">
      <c r="D81" s="13" t="s">
        <v>201</v>
      </c>
      <c r="E81" s="13" t="s">
        <v>318</v>
      </c>
      <c r="F81" s="13" t="s">
        <v>53</v>
      </c>
      <c r="G81" s="15">
        <v>46235.0</v>
      </c>
      <c r="H81" s="13" t="s">
        <v>319</v>
      </c>
      <c r="I81" s="13" t="s">
        <v>320</v>
      </c>
      <c r="J81" s="13"/>
      <c r="K81" s="13"/>
      <c r="L81" s="13"/>
      <c r="M81" s="13"/>
      <c r="N81" s="13"/>
      <c r="O81" s="13"/>
      <c r="P81" s="13"/>
      <c r="Q81" s="13"/>
      <c r="R81" s="13"/>
    </row>
    <row r="82" ht="18.75" customHeight="1">
      <c r="D82" s="13" t="s">
        <v>205</v>
      </c>
      <c r="E82" s="13" t="s">
        <v>321</v>
      </c>
      <c r="F82" s="13" t="s">
        <v>53</v>
      </c>
      <c r="G82" s="15">
        <v>46235.0</v>
      </c>
      <c r="H82" s="13" t="s">
        <v>322</v>
      </c>
      <c r="I82" s="13" t="s">
        <v>323</v>
      </c>
      <c r="J82" s="13"/>
      <c r="K82" s="13"/>
      <c r="L82" s="13"/>
      <c r="M82" s="13"/>
      <c r="N82" s="13"/>
      <c r="O82" s="13"/>
      <c r="P82" s="13"/>
      <c r="Q82" s="13"/>
      <c r="R82" s="13"/>
    </row>
    <row r="83" ht="18.75" customHeight="1">
      <c r="D83" s="13" t="s">
        <v>233</v>
      </c>
      <c r="E83" s="13" t="s">
        <v>324</v>
      </c>
      <c r="F83" s="13" t="s">
        <v>53</v>
      </c>
      <c r="G83" s="15">
        <v>46235.0</v>
      </c>
      <c r="H83" s="13" t="s">
        <v>325</v>
      </c>
      <c r="I83" s="13" t="s">
        <v>326</v>
      </c>
      <c r="J83" s="13"/>
      <c r="K83" s="13"/>
      <c r="L83" s="13"/>
      <c r="M83" s="13"/>
      <c r="N83" s="13"/>
      <c r="O83" s="13"/>
      <c r="P83" s="13"/>
      <c r="Q83" s="13"/>
      <c r="R83" s="13"/>
    </row>
    <row r="84" ht="18.75" customHeight="1">
      <c r="D84" s="13" t="s">
        <v>236</v>
      </c>
      <c r="E84" s="13" t="s">
        <v>327</v>
      </c>
      <c r="F84" s="13" t="s">
        <v>53</v>
      </c>
      <c r="G84" s="15">
        <v>46235.0</v>
      </c>
      <c r="H84" s="13" t="s">
        <v>328</v>
      </c>
      <c r="I84" s="13" t="s">
        <v>329</v>
      </c>
      <c r="J84" s="13"/>
      <c r="K84" s="13"/>
      <c r="L84" s="13"/>
      <c r="M84" s="13"/>
      <c r="N84" s="13"/>
      <c r="O84" s="13"/>
      <c r="P84" s="13"/>
      <c r="Q84" s="13"/>
      <c r="R84" s="13"/>
    </row>
    <row r="85" ht="18.75" customHeight="1">
      <c r="D85" s="13" t="s">
        <v>139</v>
      </c>
      <c r="E85" s="13" t="s">
        <v>330</v>
      </c>
      <c r="F85" s="13" t="s">
        <v>53</v>
      </c>
      <c r="G85" s="15">
        <v>46235.0</v>
      </c>
      <c r="H85" s="13" t="s">
        <v>331</v>
      </c>
      <c r="I85" s="13" t="s">
        <v>332</v>
      </c>
      <c r="J85" s="13"/>
      <c r="K85" s="13"/>
      <c r="L85" s="13"/>
      <c r="M85" s="13"/>
      <c r="N85" s="13"/>
      <c r="O85" s="13"/>
      <c r="P85" s="13"/>
      <c r="Q85" s="13"/>
      <c r="R85" s="13"/>
    </row>
    <row r="86" ht="18.75" customHeight="1">
      <c r="D86" s="13" t="s">
        <v>143</v>
      </c>
      <c r="E86" s="13" t="s">
        <v>333</v>
      </c>
      <c r="F86" s="13" t="s">
        <v>53</v>
      </c>
      <c r="G86" s="15">
        <v>46235.0</v>
      </c>
      <c r="H86" s="13" t="s">
        <v>334</v>
      </c>
      <c r="I86" s="13" t="s">
        <v>335</v>
      </c>
      <c r="J86" s="13"/>
      <c r="K86" s="13"/>
      <c r="L86" s="13"/>
      <c r="M86" s="13"/>
      <c r="N86" s="13"/>
      <c r="O86" s="13"/>
      <c r="P86" s="13"/>
      <c r="Q86" s="13"/>
      <c r="R86" s="13"/>
    </row>
    <row r="87" ht="18.75" customHeight="1">
      <c r="D87" s="13" t="s">
        <v>148</v>
      </c>
      <c r="E87" s="13" t="s">
        <v>337</v>
      </c>
      <c r="F87" s="13" t="s">
        <v>53</v>
      </c>
      <c r="G87" s="15">
        <v>46235.0</v>
      </c>
      <c r="H87" s="13" t="s">
        <v>338</v>
      </c>
      <c r="I87" s="13" t="s">
        <v>339</v>
      </c>
      <c r="J87" s="13"/>
      <c r="K87" s="13"/>
      <c r="L87" s="13"/>
      <c r="M87" s="13"/>
      <c r="N87" s="13"/>
      <c r="O87" s="13"/>
      <c r="P87" s="13"/>
      <c r="Q87" s="13"/>
      <c r="R87" s="13"/>
    </row>
    <row r="88" ht="18.75" customHeight="1">
      <c r="D88" s="13" t="s">
        <v>266</v>
      </c>
      <c r="E88" s="13" t="s">
        <v>340</v>
      </c>
      <c r="F88" s="13" t="s">
        <v>53</v>
      </c>
      <c r="G88" s="15">
        <v>46235.0</v>
      </c>
      <c r="H88" s="13" t="s">
        <v>341</v>
      </c>
      <c r="I88" s="13" t="s">
        <v>342</v>
      </c>
      <c r="J88" s="13"/>
      <c r="K88" s="13"/>
      <c r="L88" s="13"/>
      <c r="M88" s="13"/>
      <c r="N88" s="13"/>
      <c r="O88" s="13"/>
      <c r="P88" s="13"/>
      <c r="Q88" s="13"/>
      <c r="R88" s="13"/>
    </row>
    <row r="89" ht="18.75" customHeight="1">
      <c r="D89" s="13" t="s">
        <v>271</v>
      </c>
      <c r="E89" s="13" t="s">
        <v>343</v>
      </c>
      <c r="F89" s="13" t="s">
        <v>53</v>
      </c>
      <c r="G89" s="15">
        <v>46235.0</v>
      </c>
      <c r="H89" s="13" t="s">
        <v>344</v>
      </c>
      <c r="I89" s="13" t="s">
        <v>345</v>
      </c>
      <c r="J89" s="13"/>
      <c r="K89" s="13"/>
      <c r="L89" s="13"/>
      <c r="M89" s="13"/>
      <c r="N89" s="13"/>
      <c r="O89" s="13"/>
      <c r="P89" s="13"/>
      <c r="Q89" s="13"/>
      <c r="R89" s="13"/>
    </row>
    <row r="90" ht="18.75" customHeight="1">
      <c r="D90" s="13" t="s">
        <v>262</v>
      </c>
      <c r="E90" s="13" t="s">
        <v>348</v>
      </c>
      <c r="F90" s="13" t="s">
        <v>349</v>
      </c>
      <c r="G90" s="15">
        <v>46235.0</v>
      </c>
      <c r="H90" s="13" t="s">
        <v>351</v>
      </c>
      <c r="I90" s="13" t="s">
        <v>352</v>
      </c>
      <c r="J90" s="13"/>
      <c r="K90" s="13"/>
      <c r="L90" s="13"/>
      <c r="M90" s="13"/>
      <c r="N90" s="13"/>
      <c r="O90" s="13"/>
      <c r="P90" s="13"/>
      <c r="Q90" s="13"/>
      <c r="R90" s="13"/>
    </row>
    <row r="91" ht="18.75" customHeight="1">
      <c r="D91" s="13" t="s">
        <v>31</v>
      </c>
      <c r="E91" s="13" t="s">
        <v>353</v>
      </c>
      <c r="F91" s="13" t="s">
        <v>354</v>
      </c>
      <c r="G91" s="15">
        <v>46235.0</v>
      </c>
      <c r="H91" s="13" t="s">
        <v>355</v>
      </c>
      <c r="I91" s="13" t="s">
        <v>356</v>
      </c>
      <c r="J91" s="13"/>
      <c r="K91" s="13"/>
      <c r="L91" s="13"/>
      <c r="M91" s="13"/>
      <c r="N91" s="13"/>
      <c r="O91" s="13"/>
      <c r="P91" s="13"/>
      <c r="Q91" s="13"/>
      <c r="R91" s="13"/>
    </row>
    <row r="92" ht="18.75" customHeight="1">
      <c r="D92" s="13" t="s">
        <v>75</v>
      </c>
      <c r="E92" s="13" t="s">
        <v>357</v>
      </c>
      <c r="F92" s="13" t="s">
        <v>358</v>
      </c>
      <c r="G92" s="15">
        <v>46235.0</v>
      </c>
      <c r="H92" s="13" t="s">
        <v>359</v>
      </c>
      <c r="I92" s="13" t="s">
        <v>360</v>
      </c>
      <c r="J92" s="13"/>
      <c r="K92" s="13"/>
      <c r="L92" s="13"/>
      <c r="M92" s="13"/>
      <c r="N92" s="13"/>
      <c r="O92" s="13"/>
      <c r="P92" s="13"/>
      <c r="Q92" s="13"/>
      <c r="R92" s="13"/>
    </row>
    <row r="93" ht="18.75" customHeight="1">
      <c r="D93" s="13" t="s">
        <v>122</v>
      </c>
      <c r="E93" s="13" t="s">
        <v>361</v>
      </c>
      <c r="F93" s="13" t="s">
        <v>358</v>
      </c>
      <c r="G93" s="15">
        <v>46235.0</v>
      </c>
      <c r="H93" s="13" t="s">
        <v>359</v>
      </c>
      <c r="I93" s="13" t="s">
        <v>362</v>
      </c>
      <c r="J93" s="13"/>
      <c r="K93" s="13"/>
      <c r="L93" s="13"/>
      <c r="M93" s="13"/>
      <c r="N93" s="13"/>
      <c r="O93" s="13"/>
      <c r="P93" s="13"/>
      <c r="Q93" s="13"/>
      <c r="R93" s="13"/>
    </row>
    <row r="94" ht="18.75" customHeight="1">
      <c r="D94" s="13" t="s">
        <v>93</v>
      </c>
      <c r="E94" s="13" t="s">
        <v>363</v>
      </c>
      <c r="F94" s="13" t="s">
        <v>354</v>
      </c>
      <c r="G94" s="15">
        <v>46235.0</v>
      </c>
      <c r="H94" s="13" t="s">
        <v>365</v>
      </c>
      <c r="I94" s="13" t="s">
        <v>366</v>
      </c>
      <c r="J94" s="13"/>
      <c r="K94" s="13"/>
      <c r="L94" s="13"/>
      <c r="M94" s="13"/>
      <c r="N94" s="13"/>
      <c r="O94" s="13"/>
      <c r="P94" s="13"/>
      <c r="Q94" s="13"/>
      <c r="R94" s="13"/>
    </row>
    <row r="95" ht="18.75" customHeight="1"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 ht="18.75" customHeight="1"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 ht="18.75" customHeight="1">
      <c r="D97" s="27" t="s">
        <v>381</v>
      </c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</row>
    <row r="98" ht="18.75" customHeight="1">
      <c r="D98" s="31" t="s">
        <v>382</v>
      </c>
      <c r="E98" s="31" t="s">
        <v>383</v>
      </c>
      <c r="F98" s="31" t="s">
        <v>384</v>
      </c>
      <c r="G98" s="31" t="s">
        <v>385</v>
      </c>
      <c r="H98" s="31" t="s">
        <v>386</v>
      </c>
      <c r="I98" s="31" t="s">
        <v>387</v>
      </c>
      <c r="J98" s="31" t="s">
        <v>24</v>
      </c>
      <c r="K98" s="13"/>
      <c r="L98" s="13"/>
      <c r="M98" s="13"/>
      <c r="N98" s="13"/>
      <c r="O98" s="13"/>
      <c r="P98" s="13"/>
      <c r="Q98" s="13"/>
      <c r="R98" s="13"/>
    </row>
    <row r="99" ht="18.75" customHeight="1">
      <c r="D99" s="13">
        <v>1.0</v>
      </c>
      <c r="E99" s="13" t="s">
        <v>388</v>
      </c>
      <c r="F99" s="13" t="s">
        <v>389</v>
      </c>
      <c r="G99" s="13" t="s">
        <v>390</v>
      </c>
      <c r="H99" s="13" t="s">
        <v>391</v>
      </c>
      <c r="I99" s="13" t="s">
        <v>392</v>
      </c>
      <c r="J99" s="13" t="s">
        <v>393</v>
      </c>
      <c r="K99" s="13"/>
      <c r="L99" s="13"/>
      <c r="M99" s="13"/>
      <c r="N99" s="13"/>
      <c r="O99" s="13"/>
      <c r="P99" s="13"/>
      <c r="Q99" s="13"/>
      <c r="R99" s="13"/>
    </row>
    <row r="100" ht="18.75" customHeight="1">
      <c r="D100" s="13">
        <v>2.0</v>
      </c>
      <c r="E100" s="13" t="s">
        <v>394</v>
      </c>
      <c r="F100" s="13" t="s">
        <v>395</v>
      </c>
      <c r="G100" s="13" t="s">
        <v>396</v>
      </c>
      <c r="H100" s="13" t="s">
        <v>391</v>
      </c>
      <c r="I100" s="13" t="s">
        <v>397</v>
      </c>
      <c r="J100" s="13" t="s">
        <v>393</v>
      </c>
      <c r="K100" s="13"/>
      <c r="L100" s="13"/>
      <c r="M100" s="13"/>
      <c r="N100" s="13"/>
      <c r="O100" s="13"/>
      <c r="P100" s="13"/>
      <c r="Q100" s="13"/>
      <c r="R100" s="13"/>
    </row>
    <row r="101" ht="18.75" customHeight="1">
      <c r="D101" s="13">
        <v>3.0</v>
      </c>
      <c r="E101" s="13" t="s">
        <v>398</v>
      </c>
      <c r="F101" s="13" t="s">
        <v>399</v>
      </c>
      <c r="G101" s="13" t="s">
        <v>396</v>
      </c>
      <c r="H101" s="13" t="s">
        <v>391</v>
      </c>
      <c r="I101" s="13" t="s">
        <v>400</v>
      </c>
      <c r="J101" s="13" t="s">
        <v>393</v>
      </c>
      <c r="K101" s="13"/>
      <c r="L101" s="13"/>
      <c r="M101" s="13"/>
      <c r="N101" s="13"/>
      <c r="O101" s="13"/>
      <c r="P101" s="13"/>
      <c r="Q101" s="13"/>
      <c r="R101" s="13"/>
    </row>
    <row r="102" ht="18.75" customHeight="1">
      <c r="D102" s="13">
        <v>4.0</v>
      </c>
      <c r="E102" s="13" t="s">
        <v>401</v>
      </c>
      <c r="F102" s="13" t="s">
        <v>402</v>
      </c>
      <c r="G102" s="13" t="s">
        <v>403</v>
      </c>
      <c r="H102" s="13" t="s">
        <v>391</v>
      </c>
      <c r="I102" s="13" t="s">
        <v>404</v>
      </c>
      <c r="J102" s="13" t="s">
        <v>393</v>
      </c>
      <c r="K102" s="13"/>
      <c r="L102" s="13"/>
      <c r="M102" s="13"/>
      <c r="N102" s="13"/>
      <c r="O102" s="13"/>
      <c r="P102" s="13"/>
      <c r="Q102" s="13"/>
      <c r="R102" s="13"/>
    </row>
    <row r="103" ht="18.75" customHeight="1">
      <c r="D103" s="13">
        <v>5.0</v>
      </c>
      <c r="E103" s="13" t="s">
        <v>405</v>
      </c>
      <c r="F103" s="13" t="s">
        <v>406</v>
      </c>
      <c r="G103" s="13" t="s">
        <v>403</v>
      </c>
      <c r="H103" s="13" t="s">
        <v>391</v>
      </c>
      <c r="I103" s="13" t="s">
        <v>407</v>
      </c>
      <c r="J103" s="13" t="s">
        <v>393</v>
      </c>
      <c r="K103" s="13"/>
      <c r="L103" s="13"/>
      <c r="M103" s="13"/>
      <c r="N103" s="13"/>
      <c r="O103" s="13"/>
      <c r="P103" s="13"/>
      <c r="Q103" s="13"/>
      <c r="R103" s="13"/>
    </row>
    <row r="104" ht="18.75" customHeight="1">
      <c r="D104" s="13">
        <v>6.0</v>
      </c>
      <c r="E104" s="13" t="s">
        <v>408</v>
      </c>
      <c r="F104" s="13" t="s">
        <v>409</v>
      </c>
      <c r="G104" s="13" t="s">
        <v>403</v>
      </c>
      <c r="H104" s="13" t="s">
        <v>391</v>
      </c>
      <c r="I104" s="13" t="s">
        <v>410</v>
      </c>
      <c r="J104" s="13" t="s">
        <v>393</v>
      </c>
      <c r="K104" s="13"/>
      <c r="L104" s="13"/>
      <c r="M104" s="13"/>
      <c r="N104" s="13"/>
      <c r="O104" s="13"/>
      <c r="P104" s="13"/>
      <c r="Q104" s="13"/>
      <c r="R104" s="13"/>
    </row>
    <row r="105" ht="18.75" customHeight="1">
      <c r="D105" s="13">
        <v>7.0</v>
      </c>
      <c r="E105" s="13" t="s">
        <v>411</v>
      </c>
      <c r="F105" s="13" t="s">
        <v>412</v>
      </c>
      <c r="G105" s="13" t="s">
        <v>403</v>
      </c>
      <c r="H105" s="13" t="s">
        <v>391</v>
      </c>
      <c r="I105" s="13" t="s">
        <v>413</v>
      </c>
      <c r="J105" s="13" t="s">
        <v>393</v>
      </c>
      <c r="K105" s="13"/>
      <c r="L105" s="13"/>
      <c r="M105" s="13"/>
      <c r="N105" s="13"/>
      <c r="O105" s="13"/>
      <c r="P105" s="13"/>
      <c r="Q105" s="13"/>
      <c r="R105" s="13"/>
    </row>
    <row r="106" ht="18.75" customHeight="1">
      <c r="D106" s="13">
        <v>8.0</v>
      </c>
      <c r="E106" s="13" t="s">
        <v>414</v>
      </c>
      <c r="F106" s="13" t="s">
        <v>415</v>
      </c>
      <c r="G106" s="13" t="s">
        <v>403</v>
      </c>
      <c r="H106" s="13" t="s">
        <v>416</v>
      </c>
      <c r="I106" s="13" t="s">
        <v>417</v>
      </c>
      <c r="J106" s="13" t="s">
        <v>393</v>
      </c>
      <c r="K106" s="13"/>
      <c r="L106" s="13"/>
      <c r="M106" s="13"/>
      <c r="N106" s="13"/>
      <c r="O106" s="13"/>
      <c r="P106" s="13"/>
      <c r="Q106" s="13"/>
      <c r="R106" s="13"/>
    </row>
    <row r="107" ht="18.75" customHeight="1">
      <c r="D107" s="13">
        <v>9.0</v>
      </c>
      <c r="E107" s="13" t="s">
        <v>418</v>
      </c>
      <c r="F107" s="13" t="s">
        <v>419</v>
      </c>
      <c r="G107" s="13" t="s">
        <v>390</v>
      </c>
      <c r="H107" s="13" t="s">
        <v>391</v>
      </c>
      <c r="I107" s="13" t="s">
        <v>420</v>
      </c>
      <c r="J107" s="13" t="s">
        <v>393</v>
      </c>
      <c r="K107" s="13"/>
      <c r="L107" s="13"/>
      <c r="M107" s="13"/>
      <c r="N107" s="13"/>
      <c r="O107" s="13"/>
      <c r="P107" s="13"/>
      <c r="Q107" s="13"/>
      <c r="R107" s="13"/>
    </row>
    <row r="108" ht="18.75" customHeight="1">
      <c r="D108" s="13">
        <v>10.0</v>
      </c>
      <c r="E108" s="13" t="s">
        <v>421</v>
      </c>
      <c r="F108" s="13" t="s">
        <v>422</v>
      </c>
      <c r="G108" s="13" t="s">
        <v>423</v>
      </c>
      <c r="H108" s="13" t="s">
        <v>424</v>
      </c>
      <c r="I108" s="13" t="s">
        <v>425</v>
      </c>
      <c r="J108" s="13" t="s">
        <v>393</v>
      </c>
      <c r="K108" s="13"/>
      <c r="L108" s="13"/>
      <c r="M108" s="13"/>
      <c r="N108" s="13"/>
      <c r="O108" s="13"/>
      <c r="P108" s="13"/>
      <c r="Q108" s="13"/>
      <c r="R108" s="13"/>
    </row>
    <row r="109" ht="18.75" customHeight="1">
      <c r="D109" s="13">
        <v>11.0</v>
      </c>
      <c r="E109" s="13" t="s">
        <v>428</v>
      </c>
      <c r="F109" s="13" t="s">
        <v>429</v>
      </c>
      <c r="G109" s="13" t="s">
        <v>423</v>
      </c>
      <c r="H109" s="13" t="s">
        <v>424</v>
      </c>
      <c r="I109" s="13" t="s">
        <v>433</v>
      </c>
      <c r="J109" s="13" t="s">
        <v>393</v>
      </c>
      <c r="K109" s="13"/>
      <c r="L109" s="13"/>
      <c r="M109" s="13"/>
      <c r="N109" s="13"/>
      <c r="O109" s="13"/>
      <c r="P109" s="13"/>
      <c r="Q109" s="13"/>
      <c r="R109" s="13"/>
    </row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2:B2"/>
    <mergeCell ref="A3:B3"/>
    <mergeCell ref="A7:B7"/>
    <mergeCell ref="A13:B13"/>
    <mergeCell ref="A17:B17"/>
  </mergeCells>
  <dataValidations>
    <dataValidation type="list" allowBlank="1" showErrorMessage="1" sqref="F45:F71">
      <formula1>"Yes,No"</formula1>
    </dataValidation>
    <dataValidation type="list" allowBlank="1" showErrorMessage="1" sqref="J99:J109">
      <formula1>"Open,Received,Verified"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